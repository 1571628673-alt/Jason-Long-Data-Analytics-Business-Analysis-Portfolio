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40"/>
  </bookViews>
  <sheets>
    <sheet name="Ratio_Analysis" sheetId="1" r:id="rId1"/>
    <sheet name="Horizontal_Analys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<sst xmlns="http://schemas.openxmlformats.org/spreadsheetml/2006/main" count="218" uniqueCount="70">
  <si>
    <t>ACCT 7101 Accounting</t>
  </si>
  <si>
    <t>Financial Ratio Analysis</t>
  </si>
  <si>
    <t>Name:Zhengxuan Long</t>
  </si>
  <si>
    <t>Student ID:48579281</t>
  </si>
  <si>
    <t>Instructions:</t>
  </si>
  <si>
    <t>1. Enter your name and student number in the yellow-coloured cells above.</t>
  </si>
  <si>
    <t>2. Enter the company code of Company A and Company B in the blue-coloured cells below (C13 and I13).</t>
  </si>
  <si>
    <t>3. Fill in the gray-coloured cells with the formula to estimate each ratio using the exact name of accounts from the financial statement.</t>
  </si>
  <si>
    <t xml:space="preserve"> </t>
  </si>
  <si>
    <t xml:space="preserve">4. Enter the amounts from the financial statements in the blue-coloured cells below. </t>
  </si>
  <si>
    <t>5. Calculate the annual ratio and format the cell as a number (or percentage) to three (one) decimal places.</t>
  </si>
  <si>
    <r>
      <t xml:space="preserve">6. </t>
    </r>
    <r>
      <rPr>
        <b/>
        <sz val="10"/>
        <color theme="1"/>
        <rFont val="Arial"/>
        <charset val="134"/>
      </rPr>
      <t>Data in cells D16:F20, J16:L20 is for demonstration only.</t>
    </r>
    <r>
      <rPr>
        <sz val="10"/>
        <color theme="1"/>
        <rFont val="Arial"/>
        <charset val="134"/>
      </rPr>
      <t xml:space="preserve">  Please delete and enter your company data.</t>
    </r>
  </si>
  <si>
    <t>7. Select each company and fit one page (Narrow margin &amp; 8.5 pt).  Copy to your word document.</t>
  </si>
  <si>
    <t>Company A:TWE</t>
  </si>
  <si>
    <t>Company B:AVL</t>
  </si>
  <si>
    <t>Ratio</t>
  </si>
  <si>
    <t>Formula</t>
  </si>
  <si>
    <t>million$ Values</t>
  </si>
  <si>
    <t>Category</t>
  </si>
  <si>
    <t>Liquidity</t>
  </si>
  <si>
    <t>Current ratio</t>
  </si>
  <si>
    <t>Current assets</t>
  </si>
  <si>
    <t>/</t>
  </si>
  <si>
    <t xml:space="preserve">Current liabilities </t>
  </si>
  <si>
    <t>Quick ratio</t>
  </si>
  <si>
    <t>(Current assets – Inventory) / Current liabilities</t>
  </si>
  <si>
    <t>1003.1</t>
  </si>
  <si>
    <t>Inventory turnover</t>
  </si>
  <si>
    <t>Cost of goods sold / Average inventory</t>
  </si>
  <si>
    <t>Average days in inventory</t>
  </si>
  <si>
    <t>365 / Inventory turnover</t>
  </si>
  <si>
    <t>539.143</t>
  </si>
  <si>
    <t>Receivables turnover</t>
  </si>
  <si>
    <t>Net credit sales / Average accounts receivable</t>
  </si>
  <si>
    <t>Average days receivables</t>
  </si>
  <si>
    <t>365 / Receivables turnover</t>
  </si>
  <si>
    <t>Profitability</t>
  </si>
  <si>
    <t>Return on ordinary shareholders' equity</t>
  </si>
  <si>
    <t>Net income / Average shareholders' equity</t>
  </si>
  <si>
    <t>Return on assets</t>
  </si>
  <si>
    <t>Net income / Average total assets</t>
  </si>
  <si>
    <t>Gross profit rate/margin</t>
  </si>
  <si>
    <t>Gross profit / Net sales</t>
  </si>
  <si>
    <t xml:space="preserve"> Profit margin</t>
  </si>
  <si>
    <t>Net income / Net sales</t>
  </si>
  <si>
    <t>Cash return on sales</t>
  </si>
  <si>
    <t>Net cash provided by operating activities / Net sales</t>
  </si>
  <si>
    <t>Asset turnover</t>
  </si>
  <si>
    <t>Net sales / Average total assets</t>
  </si>
  <si>
    <t xml:space="preserve">Solvency </t>
  </si>
  <si>
    <t>Times interest earned</t>
  </si>
  <si>
    <t>Earnings before interest and tax (EBIT) / Interest expense</t>
  </si>
  <si>
    <t>Debt to total assets</t>
  </si>
  <si>
    <t>Total liabilities / Total assets</t>
  </si>
  <si>
    <t>Cash Debt Coverage</t>
  </si>
  <si>
    <t>Net cash provided by operating activities /Average total liabilities</t>
  </si>
  <si>
    <t>Market</t>
  </si>
  <si>
    <t>Earnings per share (EPS)</t>
  </si>
  <si>
    <t>(Net income – Preference dividends) / Weighted average ordinary shares $</t>
  </si>
  <si>
    <t>(Net income – Preference dividends) / Weighted average ordinary shares</t>
  </si>
  <si>
    <t>Price-earnings ratio</t>
  </si>
  <si>
    <t>Market price per share / Earnings per share (EPS) $</t>
  </si>
  <si>
    <t>Market price per share / Earnings per share (EPS)</t>
  </si>
  <si>
    <t>Note: If you made any assumptions in estimating the ratios (e.g., Quick ratio, Inventory turnover, Gross profit, Times interest earned, etc.), you should discuss it in the footnote or appendix.</t>
  </si>
  <si>
    <t>Name</t>
  </si>
  <si>
    <t>Student ID</t>
  </si>
  <si>
    <t>Company A:</t>
  </si>
  <si>
    <t>Profit ($ Values)</t>
  </si>
  <si>
    <t>Sales ($ Values)</t>
  </si>
  <si>
    <t>Company B: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</si>
</sst>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0_);[Red]\(0.000\)"/>
  </numFmts>
  <fonts count="26">
    <font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2"/>
      <color theme="1"/>
      <name val="Arial"/>
      <charset val="134"/>
    </font>
    <font>
      <u/>
      <sz val="10"/>
      <color theme="1"/>
      <name val="Arial"/>
      <charset val="134"/>
    </font>
    <font>
      <b/>
      <sz val="10"/>
      <color theme="2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3" borderId="4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5" applyNumberFormat="0" applyFill="0" applyAlignment="0" applyProtection="0">
      <alignment vertical="center"/>
    </xf>
    <xf numFmtId="0" fontId="13" fillId="0" borderId="45" applyNumberFormat="0" applyFill="0" applyAlignment="0" applyProtection="0">
      <alignment vertical="center"/>
    </xf>
    <xf numFmtId="0" fontId="14" fillId="0" borderId="4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4" borderId="47" applyNumberFormat="0" applyAlignment="0" applyProtection="0">
      <alignment vertical="center"/>
    </xf>
    <xf numFmtId="0" fontId="16" fillId="15" borderId="48" applyNumberFormat="0" applyAlignment="0" applyProtection="0">
      <alignment vertical="center"/>
    </xf>
    <xf numFmtId="0" fontId="17" fillId="15" borderId="47" applyNumberFormat="0" applyAlignment="0" applyProtection="0">
      <alignment vertical="center"/>
    </xf>
    <xf numFmtId="0" fontId="18" fillId="16" borderId="49" applyNumberFormat="0" applyAlignment="0" applyProtection="0">
      <alignment vertical="center"/>
    </xf>
    <xf numFmtId="0" fontId="19" fillId="0" borderId="50" applyNumberFormat="0" applyFill="0" applyAlignment="0" applyProtection="0">
      <alignment vertical="center"/>
    </xf>
    <xf numFmtId="0" fontId="20" fillId="0" borderId="51" applyNumberFormat="0" applyFill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/>
    <xf numFmtId="0" fontId="0" fillId="22" borderId="0" applyNumberFormat="0" applyBorder="0" applyAlignment="0" applyProtection="0"/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/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</cellStyleXfs>
  <cellXfs count="12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vertical="center"/>
    </xf>
    <xf numFmtId="0" fontId="2" fillId="2" borderId="0" xfId="0" applyFont="1" applyFill="1"/>
    <xf numFmtId="0" fontId="2" fillId="3" borderId="1" xfId="27" applyFont="1" applyFill="1" applyBorder="1" applyAlignment="1"/>
    <xf numFmtId="0" fontId="2" fillId="3" borderId="2" xfId="27" applyFont="1" applyFill="1" applyBorder="1" applyAlignment="1"/>
    <xf numFmtId="0" fontId="2" fillId="0" borderId="0" xfId="27" applyFont="1" applyFill="1" applyBorder="1" applyAlignment="1">
      <alignment horizontal="left" vertical="center"/>
    </xf>
    <xf numFmtId="0" fontId="2" fillId="0" borderId="0" xfId="27" applyFont="1" applyFill="1" applyBorder="1" applyAlignment="1">
      <alignment horizontal="left"/>
    </xf>
    <xf numFmtId="0" fontId="1" fillId="2" borderId="3" xfId="0" applyFont="1" applyFill="1" applyBorder="1"/>
    <xf numFmtId="0" fontId="3" fillId="4" borderId="4" xfId="31" applyFont="1" applyFill="1" applyBorder="1" applyAlignment="1">
      <alignment vertical="center"/>
    </xf>
    <xf numFmtId="0" fontId="2" fillId="2" borderId="1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 vertical="center"/>
    </xf>
    <xf numFmtId="3" fontId="2" fillId="4" borderId="6" xfId="26" applyNumberFormat="1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 vertical="center"/>
    </xf>
    <xf numFmtId="3" fontId="2" fillId="4" borderId="8" xfId="26" applyNumberFormat="1" applyFont="1" applyFill="1" applyBorder="1" applyAlignment="1">
      <alignment horizontal="center"/>
    </xf>
    <xf numFmtId="3" fontId="2" fillId="2" borderId="9" xfId="26" applyNumberFormat="1" applyFont="1" applyFill="1" applyBorder="1" applyAlignment="1">
      <alignment horizontal="center"/>
    </xf>
    <xf numFmtId="4" fontId="2" fillId="6" borderId="10" xfId="26" applyNumberFormat="1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 vertical="center"/>
    </xf>
    <xf numFmtId="4" fontId="2" fillId="6" borderId="12" xfId="26" applyNumberFormat="1" applyFont="1" applyFill="1" applyBorder="1" applyAlignment="1">
      <alignment horizontal="center"/>
    </xf>
    <xf numFmtId="0" fontId="2" fillId="3" borderId="13" xfId="27" applyFont="1" applyFill="1" applyBorder="1"/>
    <xf numFmtId="0" fontId="2" fillId="3" borderId="14" xfId="27" applyFont="1" applyFill="1" applyBorder="1"/>
    <xf numFmtId="0" fontId="2" fillId="0" borderId="0" xfId="27" applyFont="1" applyFill="1" applyBorder="1"/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3" fontId="2" fillId="4" borderId="16" xfId="26" applyNumberFormat="1" applyFont="1" applyFill="1" applyBorder="1" applyAlignment="1">
      <alignment horizontal="center"/>
    </xf>
    <xf numFmtId="3" fontId="2" fillId="4" borderId="17" xfId="26" applyNumberFormat="1" applyFont="1" applyFill="1" applyBorder="1" applyAlignment="1">
      <alignment horizontal="center"/>
    </xf>
    <xf numFmtId="3" fontId="2" fillId="4" borderId="10" xfId="26" applyNumberFormat="1" applyFont="1" applyFill="1" applyBorder="1" applyAlignment="1">
      <alignment horizontal="center"/>
    </xf>
    <xf numFmtId="9" fontId="2" fillId="4" borderId="18" xfId="26" applyNumberFormat="1" applyFont="1" applyFill="1" applyBorder="1" applyAlignment="1">
      <alignment horizontal="center"/>
    </xf>
    <xf numFmtId="3" fontId="2" fillId="2" borderId="19" xfId="26" applyNumberFormat="1" applyFont="1" applyFill="1" applyBorder="1" applyAlignment="1">
      <alignment horizontal="center"/>
    </xf>
    <xf numFmtId="4" fontId="2" fillId="6" borderId="20" xfId="26" applyNumberFormat="1" applyFont="1" applyFill="1" applyBorder="1" applyAlignment="1">
      <alignment horizontal="center"/>
    </xf>
    <xf numFmtId="4" fontId="2" fillId="6" borderId="21" xfId="26" applyNumberFormat="1" applyFont="1" applyFill="1" applyBorder="1" applyAlignment="1">
      <alignment horizontal="center"/>
    </xf>
    <xf numFmtId="9" fontId="2" fillId="6" borderId="22" xfId="26" applyNumberFormat="1" applyFont="1" applyFill="1" applyBorder="1" applyAlignment="1">
      <alignment horizontal="center"/>
    </xf>
    <xf numFmtId="3" fontId="1" fillId="2" borderId="19" xfId="26" applyNumberFormat="1" applyFont="1" applyFill="1" applyBorder="1" applyAlignment="1">
      <alignment horizontal="center"/>
    </xf>
    <xf numFmtId="0" fontId="2" fillId="5" borderId="0" xfId="0" applyFont="1" applyFill="1" applyAlignment="1">
      <alignment horizontal="left"/>
    </xf>
    <xf numFmtId="0" fontId="2" fillId="7" borderId="1" xfId="27" applyFont="1" applyFill="1" applyBorder="1" applyAlignment="1"/>
    <xf numFmtId="0" fontId="2" fillId="7" borderId="2" xfId="27" applyFont="1" applyFill="1" applyBorder="1" applyAlignment="1"/>
    <xf numFmtId="0" fontId="3" fillId="4" borderId="1" xfId="31" applyFont="1" applyFill="1" applyBorder="1" applyAlignment="1">
      <alignment horizontal="center" vertical="center"/>
    </xf>
    <xf numFmtId="0" fontId="3" fillId="4" borderId="15" xfId="3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1" fillId="8" borderId="23" xfId="0" applyFont="1" applyFill="1" applyBorder="1"/>
    <xf numFmtId="0" fontId="2" fillId="4" borderId="23" xfId="31" applyFont="1" applyFill="1" applyBorder="1" applyAlignment="1">
      <alignment horizontal="center" vertical="center"/>
    </xf>
    <xf numFmtId="0" fontId="1" fillId="8" borderId="23" xfId="0" applyFont="1" applyFill="1" applyBorder="1" applyAlignment="1">
      <alignment horizontal="center" vertical="center"/>
    </xf>
    <xf numFmtId="1" fontId="2" fillId="9" borderId="5" xfId="0" applyNumberFormat="1" applyFont="1" applyFill="1" applyBorder="1" applyAlignment="1">
      <alignment horizontal="center" vertical="center"/>
    </xf>
    <xf numFmtId="0" fontId="1" fillId="8" borderId="24" xfId="0" applyFont="1" applyFill="1" applyBorder="1"/>
    <xf numFmtId="0" fontId="2" fillId="4" borderId="24" xfId="31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1" fontId="2" fillId="9" borderId="11" xfId="0" applyNumberFormat="1" applyFont="1" applyFill="1" applyBorder="1" applyAlignment="1">
      <alignment horizontal="center" vertical="center"/>
    </xf>
    <xf numFmtId="0" fontId="1" fillId="7" borderId="2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5" borderId="25" xfId="0" applyFont="1" applyFill="1" applyBorder="1" applyAlignment="1">
      <alignment horizontal="center" vertical="center"/>
    </xf>
    <xf numFmtId="176" fontId="2" fillId="4" borderId="8" xfId="26" applyNumberFormat="1" applyFont="1" applyFill="1" applyBorder="1" applyAlignment="1">
      <alignment horizontal="center"/>
    </xf>
    <xf numFmtId="0" fontId="1" fillId="7" borderId="2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177" fontId="2" fillId="6" borderId="27" xfId="26" applyNumberFormat="1" applyFont="1" applyFill="1" applyBorder="1" applyAlignment="1">
      <alignment horizontal="center"/>
    </xf>
    <xf numFmtId="0" fontId="4" fillId="5" borderId="28" xfId="0" applyFont="1" applyFill="1" applyBorder="1" applyAlignment="1">
      <alignment horizontal="center" vertical="center"/>
    </xf>
    <xf numFmtId="0" fontId="2" fillId="4" borderId="16" xfId="26" applyNumberFormat="1" applyFont="1" applyFill="1" applyBorder="1" applyAlignment="1">
      <alignment horizontal="center"/>
    </xf>
    <xf numFmtId="0" fontId="1" fillId="5" borderId="29" xfId="0" applyFont="1" applyFill="1" applyBorder="1" applyAlignment="1">
      <alignment horizontal="center" vertical="center" wrapText="1"/>
    </xf>
    <xf numFmtId="176" fontId="2" fillId="4" borderId="10" xfId="26" applyNumberFormat="1" applyFont="1" applyFill="1" applyBorder="1" applyAlignment="1">
      <alignment horizontal="center"/>
    </xf>
    <xf numFmtId="0" fontId="1" fillId="5" borderId="29" xfId="0" applyFont="1" applyFill="1" applyBorder="1" applyAlignment="1">
      <alignment horizontal="center" vertical="center"/>
    </xf>
    <xf numFmtId="3" fontId="2" fillId="2" borderId="30" xfId="26" applyNumberFormat="1" applyFont="1" applyFill="1" applyBorder="1" applyAlignment="1">
      <alignment horizontal="center"/>
    </xf>
    <xf numFmtId="0" fontId="1" fillId="5" borderId="31" xfId="0" applyFont="1" applyFill="1" applyBorder="1" applyAlignment="1">
      <alignment horizontal="center" vertical="center"/>
    </xf>
    <xf numFmtId="0" fontId="2" fillId="6" borderId="31" xfId="26" applyNumberFormat="1" applyFont="1" applyFill="1" applyBorder="1" applyAlignment="1">
      <alignment horizontal="center"/>
    </xf>
    <xf numFmtId="49" fontId="2" fillId="4" borderId="16" xfId="26" applyNumberFormat="1" applyFont="1" applyFill="1" applyBorder="1" applyAlignment="1">
      <alignment horizontal="center"/>
    </xf>
    <xf numFmtId="49" fontId="2" fillId="4" borderId="10" xfId="26" applyNumberFormat="1" applyFont="1" applyFill="1" applyBorder="1" applyAlignment="1">
      <alignment horizontal="center"/>
    </xf>
    <xf numFmtId="49" fontId="2" fillId="6" borderId="31" xfId="26" applyNumberFormat="1" applyFont="1" applyFill="1" applyBorder="1" applyAlignment="1">
      <alignment horizontal="center"/>
    </xf>
    <xf numFmtId="176" fontId="2" fillId="4" borderId="16" xfId="26" applyNumberFormat="1" applyFont="1" applyFill="1" applyBorder="1" applyAlignment="1">
      <alignment horizontal="center"/>
    </xf>
    <xf numFmtId="177" fontId="2" fillId="4" borderId="10" xfId="26" applyNumberFormat="1" applyFont="1" applyFill="1" applyBorder="1" applyAlignment="1">
      <alignment horizontal="center"/>
    </xf>
    <xf numFmtId="177" fontId="2" fillId="6" borderId="31" xfId="26" applyNumberFormat="1" applyFont="1" applyFill="1" applyBorder="1" applyAlignment="1">
      <alignment horizontal="center"/>
    </xf>
    <xf numFmtId="0" fontId="1" fillId="7" borderId="24" xfId="0" applyFont="1" applyFill="1" applyBorder="1" applyAlignment="1">
      <alignment horizontal="center" vertical="center"/>
    </xf>
    <xf numFmtId="0" fontId="1" fillId="10" borderId="23" xfId="0" applyFont="1" applyFill="1" applyBorder="1" applyAlignment="1">
      <alignment horizontal="center" vertical="center"/>
    </xf>
    <xf numFmtId="0" fontId="1" fillId="10" borderId="26" xfId="0" applyFont="1" applyFill="1" applyBorder="1" applyAlignment="1">
      <alignment horizontal="center" vertical="center"/>
    </xf>
    <xf numFmtId="0" fontId="1" fillId="5" borderId="29" xfId="0" applyFont="1" applyFill="1" applyBorder="1" applyAlignment="1">
      <alignment horizontal="left" vertical="center"/>
    </xf>
    <xf numFmtId="0" fontId="1" fillId="2" borderId="32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4" fillId="5" borderId="34" xfId="0" applyFont="1" applyFill="1" applyBorder="1" applyAlignment="1">
      <alignment horizontal="center" vertical="center"/>
    </xf>
    <xf numFmtId="176" fontId="2" fillId="4" borderId="6" xfId="26" applyNumberFormat="1" applyFont="1" applyFill="1" applyBorder="1" applyAlignment="1">
      <alignment horizontal="center"/>
    </xf>
    <xf numFmtId="0" fontId="1" fillId="5" borderId="35" xfId="0" applyFont="1" applyFill="1" applyBorder="1" applyAlignment="1">
      <alignment horizontal="center" vertical="center"/>
    </xf>
    <xf numFmtId="0" fontId="1" fillId="10" borderId="24" xfId="0" applyFont="1" applyFill="1" applyBorder="1" applyAlignment="1">
      <alignment horizontal="center" vertical="center"/>
    </xf>
    <xf numFmtId="0" fontId="1" fillId="11" borderId="23" xfId="0" applyFont="1" applyFill="1" applyBorder="1" applyAlignment="1">
      <alignment horizontal="center" vertical="center"/>
    </xf>
    <xf numFmtId="0" fontId="2" fillId="7" borderId="13" xfId="27" applyFont="1" applyFill="1" applyBorder="1"/>
    <xf numFmtId="0" fontId="2" fillId="7" borderId="15" xfId="27" applyFont="1" applyFill="1" applyBorder="1"/>
    <xf numFmtId="0" fontId="3" fillId="4" borderId="14" xfId="31" applyFont="1" applyFill="1" applyBorder="1" applyAlignment="1">
      <alignment horizontal="center" vertical="center"/>
    </xf>
    <xf numFmtId="176" fontId="2" fillId="4" borderId="36" xfId="26" applyNumberFormat="1" applyFont="1" applyFill="1" applyBorder="1" applyAlignment="1">
      <alignment horizontal="center"/>
    </xf>
    <xf numFmtId="176" fontId="2" fillId="4" borderId="30" xfId="26" applyNumberFormat="1" applyFont="1" applyFill="1" applyBorder="1" applyAlignment="1">
      <alignment horizontal="center"/>
    </xf>
    <xf numFmtId="176" fontId="2" fillId="4" borderId="37" xfId="26" applyNumberFormat="1" applyFont="1" applyFill="1" applyBorder="1" applyAlignment="1">
      <alignment horizontal="center"/>
    </xf>
    <xf numFmtId="177" fontId="2" fillId="6" borderId="38" xfId="26" applyNumberFormat="1" applyFont="1" applyFill="1" applyBorder="1" applyAlignment="1">
      <alignment horizontal="center"/>
    </xf>
    <xf numFmtId="0" fontId="2" fillId="4" borderId="39" xfId="26" applyNumberFormat="1" applyFont="1" applyFill="1" applyBorder="1" applyAlignment="1">
      <alignment horizontal="center"/>
    </xf>
    <xf numFmtId="49" fontId="2" fillId="6" borderId="40" xfId="26" applyNumberFormat="1" applyFont="1" applyFill="1" applyBorder="1" applyAlignment="1">
      <alignment horizontal="center"/>
    </xf>
    <xf numFmtId="49" fontId="2" fillId="6" borderId="3" xfId="26" applyNumberFormat="1" applyFont="1" applyFill="1" applyBorder="1" applyAlignment="1">
      <alignment horizontal="center"/>
    </xf>
    <xf numFmtId="176" fontId="2" fillId="4" borderId="39" xfId="26" applyNumberFormat="1" applyFont="1" applyFill="1" applyBorder="1" applyAlignment="1">
      <alignment horizontal="center"/>
    </xf>
    <xf numFmtId="177" fontId="2" fillId="6" borderId="40" xfId="26" applyNumberFormat="1" applyFont="1" applyFill="1" applyBorder="1" applyAlignment="1">
      <alignment horizontal="center"/>
    </xf>
    <xf numFmtId="177" fontId="2" fillId="6" borderId="3" xfId="26" applyNumberFormat="1" applyFont="1" applyFill="1" applyBorder="1" applyAlignment="1">
      <alignment horizontal="center"/>
    </xf>
    <xf numFmtId="177" fontId="2" fillId="4" borderId="37" xfId="26" applyNumberFormat="1" applyFont="1" applyFill="1" applyBorder="1" applyAlignment="1">
      <alignment horizontal="center"/>
    </xf>
    <xf numFmtId="3" fontId="2" fillId="4" borderId="39" xfId="26" applyNumberFormat="1" applyFont="1" applyFill="1" applyBorder="1" applyAlignment="1">
      <alignment horizontal="center"/>
    </xf>
    <xf numFmtId="49" fontId="2" fillId="4" borderId="37" xfId="26" applyNumberFormat="1" applyFont="1" applyFill="1" applyBorder="1" applyAlignment="1">
      <alignment horizontal="center"/>
    </xf>
    <xf numFmtId="0" fontId="0" fillId="0" borderId="3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77" fontId="2" fillId="4" borderId="8" xfId="26" applyNumberFormat="1" applyFont="1" applyFill="1" applyBorder="1" applyAlignment="1">
      <alignment horizontal="center"/>
    </xf>
    <xf numFmtId="177" fontId="2" fillId="4" borderId="36" xfId="26" applyNumberFormat="1" applyFont="1" applyFill="1" applyBorder="1" applyAlignment="1">
      <alignment horizontal="center"/>
    </xf>
    <xf numFmtId="177" fontId="2" fillId="4" borderId="30" xfId="26" applyNumberFormat="1" applyFont="1" applyFill="1" applyBorder="1" applyAlignment="1">
      <alignment horizontal="center"/>
    </xf>
    <xf numFmtId="4" fontId="2" fillId="6" borderId="27" xfId="26" applyNumberFormat="1" applyFont="1" applyFill="1" applyBorder="1" applyAlignment="1">
      <alignment horizontal="center"/>
    </xf>
    <xf numFmtId="4" fontId="2" fillId="6" borderId="38" xfId="26" applyNumberFormat="1" applyFont="1" applyFill="1" applyBorder="1" applyAlignment="1">
      <alignment horizontal="center"/>
    </xf>
    <xf numFmtId="177" fontId="2" fillId="4" borderId="16" xfId="26" applyNumberFormat="1" applyFont="1" applyFill="1" applyBorder="1" applyAlignment="1">
      <alignment horizontal="center"/>
    </xf>
    <xf numFmtId="177" fontId="2" fillId="4" borderId="39" xfId="26" applyNumberFormat="1" applyFont="1" applyFill="1" applyBorder="1" applyAlignment="1">
      <alignment horizontal="center"/>
    </xf>
    <xf numFmtId="0" fontId="1" fillId="11" borderId="26" xfId="0" applyFont="1" applyFill="1" applyBorder="1" applyAlignment="1">
      <alignment horizontal="center" vertical="center"/>
    </xf>
    <xf numFmtId="0" fontId="1" fillId="11" borderId="24" xfId="0" applyFont="1" applyFill="1" applyBorder="1" applyAlignment="1">
      <alignment horizontal="center" vertical="center"/>
    </xf>
    <xf numFmtId="0" fontId="1" fillId="12" borderId="23" xfId="0" applyFont="1" applyFill="1" applyBorder="1" applyAlignment="1">
      <alignment horizontal="center" vertical="center"/>
    </xf>
    <xf numFmtId="0" fontId="1" fillId="5" borderId="34" xfId="0" applyFont="1" applyFill="1" applyBorder="1" applyAlignment="1">
      <alignment horizontal="center" vertical="center" wrapText="1"/>
    </xf>
    <xf numFmtId="0" fontId="1" fillId="12" borderId="26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 wrapText="1"/>
    </xf>
    <xf numFmtId="0" fontId="1" fillId="5" borderId="35" xfId="0" applyFont="1" applyFill="1" applyBorder="1" applyAlignment="1">
      <alignment horizontal="center" vertical="center" wrapText="1"/>
    </xf>
    <xf numFmtId="0" fontId="1" fillId="12" borderId="41" xfId="0" applyFont="1" applyFill="1" applyBorder="1" applyAlignment="1">
      <alignment horizontal="center" vertical="center"/>
    </xf>
    <xf numFmtId="0" fontId="1" fillId="12" borderId="42" xfId="0" applyFont="1" applyFill="1" applyBorder="1" applyAlignment="1">
      <alignment horizontal="center" vertical="center"/>
    </xf>
    <xf numFmtId="176" fontId="2" fillId="6" borderId="27" xfId="26" applyNumberFormat="1" applyFont="1" applyFill="1" applyBorder="1" applyAlignment="1">
      <alignment horizont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3" fontId="2" fillId="2" borderId="0" xfId="26" applyNumberFormat="1" applyFont="1" applyFill="1" applyBorder="1" applyAlignment="1">
      <alignment horizontal="center"/>
    </xf>
    <xf numFmtId="0" fontId="3" fillId="2" borderId="0" xfId="0" applyFont="1" applyFill="1" applyAlignment="1">
      <alignment horizontal="left" vertical="center"/>
    </xf>
    <xf numFmtId="177" fontId="2" fillId="6" borderId="43" xfId="26" applyNumberFormat="1" applyFont="1" applyFill="1" applyBorder="1" applyAlignment="1">
      <alignment horizontal="center"/>
    </xf>
    <xf numFmtId="177" fontId="2" fillId="4" borderId="6" xfId="26" applyNumberFormat="1" applyFont="1" applyFill="1" applyBorder="1" applyAlignment="1">
      <alignment horizontal="center"/>
    </xf>
    <xf numFmtId="177" fontId="5" fillId="4" borderId="8" xfId="26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99FF99"/>
      <color rgb="00FF6699"/>
      <color rgb="0099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74"/>
  <sheetViews>
    <sheetView tabSelected="1" zoomScale="81" zoomScaleNormal="81" workbookViewId="0">
      <pane xSplit="1" topLeftCell="B1" activePane="topRight" state="frozen"/>
      <selection/>
      <selection pane="topRight" activeCell="C7" sqref="C7"/>
    </sheetView>
  </sheetViews>
  <sheetFormatPr defaultColWidth="9.18269230769231" defaultRowHeight="15.2"/>
  <cols>
    <col min="1" max="1" width="10.4519230769231" style="1" customWidth="1"/>
    <col min="2" max="2" width="17" style="1" customWidth="1"/>
    <col min="3" max="3" width="44" style="2" customWidth="1"/>
    <col min="4" max="4" width="24" style="1" customWidth="1"/>
    <col min="5" max="5" width="22.1826923076923" style="1" customWidth="1"/>
    <col min="6" max="6" width="24.4519230769231" style="1" customWidth="1"/>
    <col min="7" max="7" width="3.45192307692308" style="1" customWidth="1"/>
    <col min="8" max="8" width="17" style="1" customWidth="1"/>
    <col min="9" max="9" width="44" style="1" customWidth="1"/>
    <col min="10" max="10" width="24" style="1" customWidth="1"/>
    <col min="11" max="11" width="22.1826923076923" style="1" customWidth="1"/>
    <col min="12" max="12" width="24.4519230769231" style="1" customWidth="1"/>
    <col min="13" max="16384" width="9.18269230769231" style="1"/>
  </cols>
  <sheetData>
    <row r="1" ht="15.95" spans="1:7">
      <c r="A1" s="35" t="s">
        <v>0</v>
      </c>
      <c r="B1" s="35"/>
      <c r="C1" s="4"/>
      <c r="D1" s="5"/>
      <c r="E1" s="5"/>
      <c r="F1" s="5"/>
      <c r="G1" s="5"/>
    </row>
    <row r="2" ht="15.95" spans="1:7">
      <c r="A2" s="35" t="s">
        <v>1</v>
      </c>
      <c r="B2" s="35"/>
      <c r="C2" s="36" t="s">
        <v>2</v>
      </c>
      <c r="D2" s="37"/>
      <c r="E2" s="83" t="s">
        <v>3</v>
      </c>
      <c r="F2" s="84"/>
      <c r="G2" s="5"/>
    </row>
    <row r="3" spans="1:7">
      <c r="A3" s="3"/>
      <c r="B3" s="3"/>
      <c r="C3" s="8"/>
      <c r="D3" s="9"/>
      <c r="E3" s="23"/>
      <c r="F3" s="23"/>
      <c r="G3" s="5"/>
    </row>
    <row r="5" spans="1:2">
      <c r="A5" s="1" t="s">
        <v>4</v>
      </c>
      <c r="B5" s="1" t="s">
        <v>5</v>
      </c>
    </row>
    <row r="6" spans="2:2">
      <c r="B6" s="1" t="s">
        <v>6</v>
      </c>
    </row>
    <row r="7" spans="2:2">
      <c r="B7" s="1" t="s">
        <v>7</v>
      </c>
    </row>
    <row r="8" spans="1:3">
      <c r="A8" s="1" t="s">
        <v>8</v>
      </c>
      <c r="B8" s="1" t="s">
        <v>9</v>
      </c>
      <c r="C8" s="1"/>
    </row>
    <row r="9" spans="2:2">
      <c r="B9" s="1" t="s">
        <v>10</v>
      </c>
    </row>
    <row r="10" ht="16" spans="2:2">
      <c r="B10" s="1" t="s">
        <v>11</v>
      </c>
    </row>
    <row r="11" spans="2:2">
      <c r="B11" s="1" t="s">
        <v>12</v>
      </c>
    </row>
    <row r="12" ht="15.95" spans="1:12">
      <c r="A12" s="10"/>
      <c r="D12" s="10"/>
      <c r="E12" s="10"/>
      <c r="F12" s="10"/>
      <c r="J12" s="10"/>
      <c r="K12" s="10"/>
      <c r="L12" s="10"/>
    </row>
    <row r="13" ht="15.75" customHeight="1" spans="2:12">
      <c r="B13" s="38" t="s">
        <v>13</v>
      </c>
      <c r="C13" s="39"/>
      <c r="D13" s="40">
        <v>2024</v>
      </c>
      <c r="E13" s="40">
        <v>2023</v>
      </c>
      <c r="F13" s="40">
        <v>2022</v>
      </c>
      <c r="H13" s="85" t="s">
        <v>14</v>
      </c>
      <c r="I13" s="39"/>
      <c r="J13" s="40">
        <v>2024</v>
      </c>
      <c r="K13" s="40">
        <v>2023</v>
      </c>
      <c r="L13" s="40">
        <v>2022</v>
      </c>
    </row>
    <row r="14" ht="15" customHeight="1" spans="1:12">
      <c r="A14" s="41" t="s">
        <v>15</v>
      </c>
      <c r="B14" s="42" t="s">
        <v>15</v>
      </c>
      <c r="C14" s="43" t="s">
        <v>16</v>
      </c>
      <c r="D14" s="44" t="s">
        <v>17</v>
      </c>
      <c r="E14" s="44" t="s">
        <v>17</v>
      </c>
      <c r="F14" s="44" t="s">
        <v>17</v>
      </c>
      <c r="H14" s="42" t="s">
        <v>15</v>
      </c>
      <c r="I14" s="43" t="s">
        <v>16</v>
      </c>
      <c r="J14" s="44" t="s">
        <v>17</v>
      </c>
      <c r="K14" s="44" t="s">
        <v>17</v>
      </c>
      <c r="L14" s="44" t="s">
        <v>17</v>
      </c>
    </row>
    <row r="15" ht="15.75" customHeight="1" spans="1:12">
      <c r="A15" s="45" t="s">
        <v>18</v>
      </c>
      <c r="B15" s="46"/>
      <c r="C15" s="47"/>
      <c r="D15" s="48"/>
      <c r="E15" s="48"/>
      <c r="F15" s="48"/>
      <c r="H15" s="46"/>
      <c r="I15" s="47"/>
      <c r="J15" s="48"/>
      <c r="K15" s="48"/>
      <c r="L15" s="48"/>
    </row>
    <row r="16" spans="1:12">
      <c r="A16" s="49" t="s">
        <v>19</v>
      </c>
      <c r="B16" s="50" t="s">
        <v>20</v>
      </c>
      <c r="C16" s="51" t="s">
        <v>21</v>
      </c>
      <c r="D16" s="52">
        <v>2188.6</v>
      </c>
      <c r="E16" s="86">
        <v>2237.2</v>
      </c>
      <c r="F16" s="87">
        <v>1989.7</v>
      </c>
      <c r="H16" s="75" t="s">
        <v>20</v>
      </c>
      <c r="I16" s="51" t="s">
        <v>21</v>
      </c>
      <c r="J16" s="101">
        <v>240.546</v>
      </c>
      <c r="K16" s="102">
        <v>232.323</v>
      </c>
      <c r="L16" s="103">
        <v>228.791</v>
      </c>
    </row>
    <row r="17" ht="15" customHeight="1" spans="1:12">
      <c r="A17" s="53"/>
      <c r="B17" s="54"/>
      <c r="C17" s="51" t="s">
        <v>22</v>
      </c>
      <c r="D17" s="52">
        <v>1030.5</v>
      </c>
      <c r="E17" s="60">
        <v>1098.4</v>
      </c>
      <c r="F17" s="88">
        <v>1003.1</v>
      </c>
      <c r="H17" s="76"/>
      <c r="I17" s="51" t="s">
        <v>22</v>
      </c>
      <c r="J17" s="101">
        <v>135.855</v>
      </c>
      <c r="K17" s="69">
        <v>65.916</v>
      </c>
      <c r="L17" s="96">
        <v>78.459</v>
      </c>
    </row>
    <row r="18" ht="15" customHeight="1" spans="1:12">
      <c r="A18" s="53"/>
      <c r="B18" s="54"/>
      <c r="C18" s="51" t="s">
        <v>23</v>
      </c>
      <c r="D18" s="17" t="s">
        <v>15</v>
      </c>
      <c r="E18" s="17" t="s">
        <v>15</v>
      </c>
      <c r="F18" s="17" t="s">
        <v>15</v>
      </c>
      <c r="H18" s="76"/>
      <c r="I18" s="51" t="s">
        <v>23</v>
      </c>
      <c r="J18" s="17" t="s">
        <v>15</v>
      </c>
      <c r="K18" s="17" t="s">
        <v>15</v>
      </c>
      <c r="L18" s="17" t="s">
        <v>15</v>
      </c>
    </row>
    <row r="19" ht="15.75" customHeight="1" spans="1:12">
      <c r="A19" s="53"/>
      <c r="B19" s="55"/>
      <c r="C19" s="51"/>
      <c r="D19" s="56">
        <f>+D16/D17</f>
        <v>2.12382338670548</v>
      </c>
      <c r="E19" s="56">
        <f t="shared" ref="E19:F19" si="0">+E16/E17</f>
        <v>2.03678077203205</v>
      </c>
      <c r="F19" s="89">
        <f t="shared" si="0"/>
        <v>1.98355099192503</v>
      </c>
      <c r="H19" s="77"/>
      <c r="I19" s="51"/>
      <c r="J19" s="56">
        <f>+J16/J17</f>
        <v>1.77060836921718</v>
      </c>
      <c r="K19" s="104">
        <f t="shared" ref="K19:L19" si="1">+K16/K17</f>
        <v>3.52453122155471</v>
      </c>
      <c r="L19" s="105">
        <f t="shared" si="1"/>
        <v>2.91605806854535</v>
      </c>
    </row>
    <row r="20" ht="15" customHeight="1" spans="1:12">
      <c r="A20" s="53"/>
      <c r="B20" s="50" t="s">
        <v>24</v>
      </c>
      <c r="C20" s="57"/>
      <c r="D20" s="58">
        <v>-171</v>
      </c>
      <c r="E20" s="68">
        <v>71.6</v>
      </c>
      <c r="F20" s="90">
        <v>-21.8</v>
      </c>
      <c r="H20" s="75" t="s">
        <v>24</v>
      </c>
      <c r="I20" s="57"/>
      <c r="J20" s="106">
        <v>38.815</v>
      </c>
      <c r="K20" s="106">
        <v>15.175</v>
      </c>
      <c r="L20" s="107">
        <v>6.348</v>
      </c>
    </row>
    <row r="21" ht="15" customHeight="1" spans="1:12">
      <c r="A21" s="53"/>
      <c r="B21" s="54"/>
      <c r="C21" s="59" t="s">
        <v>25</v>
      </c>
      <c r="D21" s="60">
        <v>1030.5</v>
      </c>
      <c r="E21" s="60">
        <v>1098.4</v>
      </c>
      <c r="F21" s="88" t="s">
        <v>26</v>
      </c>
      <c r="H21" s="76"/>
      <c r="I21" s="59" t="s">
        <v>25</v>
      </c>
      <c r="J21" s="69">
        <v>135.855</v>
      </c>
      <c r="K21" s="69">
        <v>65.916</v>
      </c>
      <c r="L21" s="96">
        <v>78.459</v>
      </c>
    </row>
    <row r="22" ht="15" customHeight="1" spans="1:12">
      <c r="A22" s="53"/>
      <c r="B22" s="54"/>
      <c r="C22" s="61"/>
      <c r="D22" s="62" t="s">
        <v>15</v>
      </c>
      <c r="E22" s="17" t="s">
        <v>15</v>
      </c>
      <c r="F22" s="17" t="s">
        <v>15</v>
      </c>
      <c r="H22" s="76"/>
      <c r="I22" s="61"/>
      <c r="J22" s="62" t="s">
        <v>15</v>
      </c>
      <c r="K22" s="17" t="s">
        <v>15</v>
      </c>
      <c r="L22" s="17" t="s">
        <v>15</v>
      </c>
    </row>
    <row r="23" ht="15.75" customHeight="1" spans="1:12">
      <c r="A23" s="53"/>
      <c r="B23" s="55"/>
      <c r="C23" s="63"/>
      <c r="D23" s="64">
        <v>-0.165</v>
      </c>
      <c r="E23" s="91">
        <v>0.065</v>
      </c>
      <c r="F23" s="92">
        <v>-0.021</v>
      </c>
      <c r="H23" s="77"/>
      <c r="I23" s="63"/>
      <c r="J23" s="70">
        <f>J20/J21</f>
        <v>0.285709028007802</v>
      </c>
      <c r="K23" s="70">
        <f>K20/K21</f>
        <v>0.230217246192123</v>
      </c>
      <c r="L23" s="70">
        <f>L20/L21</f>
        <v>0.0809084999808817</v>
      </c>
    </row>
    <row r="24" ht="15" customHeight="1" spans="1:12">
      <c r="A24" s="53"/>
      <c r="B24" s="50" t="s">
        <v>27</v>
      </c>
      <c r="C24" s="57"/>
      <c r="D24" s="65">
        <v>1573.7</v>
      </c>
      <c r="E24" s="68">
        <v>1413.7</v>
      </c>
      <c r="F24" s="93">
        <v>1488.5</v>
      </c>
      <c r="H24" s="75" t="s">
        <v>27</v>
      </c>
      <c r="I24" s="57"/>
      <c r="J24" s="106">
        <v>223.122</v>
      </c>
      <c r="K24" s="106">
        <v>183.448</v>
      </c>
      <c r="L24" s="107">
        <v>174.752</v>
      </c>
    </row>
    <row r="25" ht="15" customHeight="1" spans="1:12">
      <c r="A25" s="53"/>
      <c r="B25" s="54"/>
      <c r="C25" s="61" t="s">
        <v>28</v>
      </c>
      <c r="D25" s="66">
        <v>2262.6</v>
      </c>
      <c r="E25" s="60">
        <v>2088.5</v>
      </c>
      <c r="F25" s="88">
        <v>2050.85</v>
      </c>
      <c r="H25" s="76"/>
      <c r="I25" s="61" t="s">
        <v>28</v>
      </c>
      <c r="J25" s="69">
        <v>209.439</v>
      </c>
      <c r="K25" s="69">
        <v>219.796</v>
      </c>
      <c r="L25" s="96">
        <v>206.59</v>
      </c>
    </row>
    <row r="26" ht="15" customHeight="1" spans="1:12">
      <c r="A26" s="53"/>
      <c r="B26" s="54"/>
      <c r="C26" s="61"/>
      <c r="D26" s="62" t="s">
        <v>15</v>
      </c>
      <c r="E26" s="17" t="s">
        <v>15</v>
      </c>
      <c r="F26" s="17" t="s">
        <v>15</v>
      </c>
      <c r="H26" s="76"/>
      <c r="I26" s="61"/>
      <c r="J26" s="62" t="s">
        <v>15</v>
      </c>
      <c r="K26" s="17" t="s">
        <v>15</v>
      </c>
      <c r="L26" s="17" t="s">
        <v>15</v>
      </c>
    </row>
    <row r="27" ht="15.75" customHeight="1" spans="1:12">
      <c r="A27" s="53"/>
      <c r="B27" s="55"/>
      <c r="C27" s="63"/>
      <c r="D27" s="67">
        <v>0.696</v>
      </c>
      <c r="E27" s="94">
        <v>0.6768</v>
      </c>
      <c r="F27" s="95">
        <v>0.7257</v>
      </c>
      <c r="H27" s="77"/>
      <c r="I27" s="63"/>
      <c r="J27" s="70">
        <f>J24/J25</f>
        <v>1.06533167175168</v>
      </c>
      <c r="K27" s="70">
        <f>K24/K25</f>
        <v>0.83462847367559</v>
      </c>
      <c r="L27" s="70">
        <f>L24/L25</f>
        <v>0.84588799070623</v>
      </c>
    </row>
    <row r="28" ht="15" customHeight="1" spans="1:12">
      <c r="A28" s="53"/>
      <c r="B28" s="50" t="s">
        <v>29</v>
      </c>
      <c r="C28" s="57"/>
      <c r="D28" s="68">
        <v>365</v>
      </c>
      <c r="E28" s="68">
        <v>365</v>
      </c>
      <c r="F28" s="93">
        <v>365</v>
      </c>
      <c r="H28" s="75" t="s">
        <v>29</v>
      </c>
      <c r="I28" s="57"/>
      <c r="J28" s="26">
        <v>365</v>
      </c>
      <c r="K28" s="26">
        <v>365</v>
      </c>
      <c r="L28" s="26">
        <v>365</v>
      </c>
    </row>
    <row r="29" ht="15" customHeight="1" spans="1:12">
      <c r="A29" s="53"/>
      <c r="B29" s="54"/>
      <c r="C29" s="61" t="s">
        <v>30</v>
      </c>
      <c r="D29" s="69">
        <v>0.696</v>
      </c>
      <c r="E29" s="69">
        <v>0.677</v>
      </c>
      <c r="F29" s="96">
        <v>0.726</v>
      </c>
      <c r="H29" s="76"/>
      <c r="I29" s="61" t="s">
        <v>30</v>
      </c>
      <c r="J29" s="69">
        <v>1.06533167175168</v>
      </c>
      <c r="K29" s="69">
        <v>0.83462847367559</v>
      </c>
      <c r="L29" s="96">
        <v>0.84588799070623</v>
      </c>
    </row>
    <row r="30" ht="15" customHeight="1" spans="1:12">
      <c r="A30" s="53"/>
      <c r="B30" s="54"/>
      <c r="C30" s="61"/>
      <c r="D30" s="62" t="s">
        <v>15</v>
      </c>
      <c r="E30" s="17" t="s">
        <v>15</v>
      </c>
      <c r="F30" s="17" t="s">
        <v>15</v>
      </c>
      <c r="H30" s="76"/>
      <c r="I30" s="61"/>
      <c r="J30" s="62" t="s">
        <v>15</v>
      </c>
      <c r="K30" s="17" t="s">
        <v>15</v>
      </c>
      <c r="L30" s="17" t="s">
        <v>15</v>
      </c>
    </row>
    <row r="31" ht="15.75" customHeight="1" spans="1:12">
      <c r="A31" s="53"/>
      <c r="B31" s="55"/>
      <c r="C31" s="63"/>
      <c r="D31" s="67">
        <v>524.425</v>
      </c>
      <c r="E31" s="91" t="s">
        <v>31</v>
      </c>
      <c r="F31" s="92">
        <v>502.754</v>
      </c>
      <c r="H31" s="77"/>
      <c r="I31" s="63"/>
      <c r="J31" s="70">
        <f>J28/J29</f>
        <v>342.616304084761</v>
      </c>
      <c r="K31" s="70">
        <f>K28/K29</f>
        <v>437.320330556888</v>
      </c>
      <c r="L31" s="70">
        <f>L28/L29</f>
        <v>431.499210309467</v>
      </c>
    </row>
    <row r="32" ht="15" customHeight="1" spans="1:12">
      <c r="A32" s="53"/>
      <c r="B32" s="50" t="s">
        <v>32</v>
      </c>
      <c r="C32" s="57"/>
      <c r="D32" s="68">
        <v>2808.3</v>
      </c>
      <c r="E32" s="68">
        <v>2488.3</v>
      </c>
      <c r="F32" s="93">
        <v>2531.8</v>
      </c>
      <c r="H32" s="75" t="s">
        <v>32</v>
      </c>
      <c r="I32" s="57"/>
      <c r="J32" s="106">
        <v>260.594</v>
      </c>
      <c r="K32" s="106">
        <v>258.557</v>
      </c>
      <c r="L32" s="107">
        <v>260.099</v>
      </c>
    </row>
    <row r="33" ht="15" customHeight="1" spans="1:12">
      <c r="A33" s="53"/>
      <c r="B33" s="54"/>
      <c r="C33" s="61" t="s">
        <v>33</v>
      </c>
      <c r="D33" s="60">
        <v>645.2</v>
      </c>
      <c r="E33" s="69">
        <v>585.85</v>
      </c>
      <c r="F33" s="88">
        <v>553.05</v>
      </c>
      <c r="H33" s="76"/>
      <c r="I33" s="61" t="s">
        <v>33</v>
      </c>
      <c r="J33" s="69">
        <v>35.76</v>
      </c>
      <c r="K33" s="69">
        <v>39.547</v>
      </c>
      <c r="L33" s="96">
        <v>40.324</v>
      </c>
    </row>
    <row r="34" ht="15" customHeight="1" spans="1:12">
      <c r="A34" s="53"/>
      <c r="B34" s="54"/>
      <c r="C34" s="61"/>
      <c r="D34" s="62" t="s">
        <v>15</v>
      </c>
      <c r="E34" s="17" t="s">
        <v>15</v>
      </c>
      <c r="F34" s="17" t="s">
        <v>15</v>
      </c>
      <c r="H34" s="76"/>
      <c r="I34" s="61"/>
      <c r="J34" s="62" t="s">
        <v>15</v>
      </c>
      <c r="K34" s="17" t="s">
        <v>15</v>
      </c>
      <c r="L34" s="17" t="s">
        <v>15</v>
      </c>
    </row>
    <row r="35" ht="15.75" customHeight="1" spans="1:12">
      <c r="A35" s="53"/>
      <c r="B35" s="55"/>
      <c r="C35" s="61"/>
      <c r="D35" s="70">
        <v>4.3526</v>
      </c>
      <c r="E35" s="91">
        <v>4.247</v>
      </c>
      <c r="F35" s="92">
        <v>4.578</v>
      </c>
      <c r="H35" s="77"/>
      <c r="I35" s="61"/>
      <c r="J35" s="70">
        <f>J32/J33</f>
        <v>7.28730425055928</v>
      </c>
      <c r="K35" s="70">
        <f>K32/K33</f>
        <v>6.5379674817306</v>
      </c>
      <c r="L35" s="70">
        <f>L32/L33</f>
        <v>6.45022815196905</v>
      </c>
    </row>
    <row r="36" ht="15" customHeight="1" spans="1:12">
      <c r="A36" s="53"/>
      <c r="B36" s="50" t="s">
        <v>34</v>
      </c>
      <c r="C36" s="57"/>
      <c r="D36" s="26">
        <v>365</v>
      </c>
      <c r="E36" s="26">
        <v>365</v>
      </c>
      <c r="F36" s="97">
        <v>365</v>
      </c>
      <c r="H36" s="75" t="s">
        <v>34</v>
      </c>
      <c r="I36" s="57"/>
      <c r="J36" s="26">
        <v>365</v>
      </c>
      <c r="K36" s="26">
        <v>365</v>
      </c>
      <c r="L36" s="26">
        <v>365</v>
      </c>
    </row>
    <row r="37" ht="11.25" customHeight="1" spans="1:12">
      <c r="A37" s="53"/>
      <c r="B37" s="54"/>
      <c r="C37" s="61" t="s">
        <v>35</v>
      </c>
      <c r="D37" s="69">
        <v>4.3526</v>
      </c>
      <c r="E37" s="66">
        <v>4.247</v>
      </c>
      <c r="F37" s="98">
        <v>4.578</v>
      </c>
      <c r="H37" s="76"/>
      <c r="I37" s="61" t="s">
        <v>35</v>
      </c>
      <c r="J37" s="69">
        <v>7.28730425055928</v>
      </c>
      <c r="K37" s="69">
        <v>6.5379674817306</v>
      </c>
      <c r="L37" s="96">
        <v>6.45022815196905</v>
      </c>
    </row>
    <row r="38" ht="16.5" customHeight="1" spans="1:12">
      <c r="A38" s="53"/>
      <c r="B38" s="54"/>
      <c r="C38" s="61"/>
      <c r="D38" s="62" t="s">
        <v>15</v>
      </c>
      <c r="E38" s="17" t="s">
        <v>15</v>
      </c>
      <c r="F38" s="17" t="s">
        <v>15</v>
      </c>
      <c r="H38" s="76"/>
      <c r="I38" s="61"/>
      <c r="J38" s="62" t="s">
        <v>15</v>
      </c>
      <c r="K38" s="17" t="s">
        <v>15</v>
      </c>
      <c r="L38" s="17" t="s">
        <v>15</v>
      </c>
    </row>
    <row r="39" ht="15.75" customHeight="1" spans="1:12">
      <c r="A39" s="71"/>
      <c r="B39" s="55"/>
      <c r="C39" s="63"/>
      <c r="D39" s="70">
        <v>83.85</v>
      </c>
      <c r="E39" s="94">
        <v>85.943</v>
      </c>
      <c r="F39" s="95">
        <v>79.729</v>
      </c>
      <c r="H39" s="77"/>
      <c r="I39" s="63"/>
      <c r="J39" s="70">
        <f>J36/J37</f>
        <v>50.0871086824716</v>
      </c>
      <c r="K39" s="70">
        <f>K36/K37</f>
        <v>55.827747846703</v>
      </c>
      <c r="L39" s="70">
        <f>L36/L37</f>
        <v>56.5871456637665</v>
      </c>
    </row>
    <row r="40" ht="15" customHeight="1" spans="1:12">
      <c r="A40" s="72" t="s">
        <v>36</v>
      </c>
      <c r="B40" s="50" t="s">
        <v>37</v>
      </c>
      <c r="C40" s="57"/>
      <c r="D40" s="68">
        <v>99</v>
      </c>
      <c r="E40" s="68">
        <v>254.3</v>
      </c>
      <c r="F40" s="93">
        <v>263.2</v>
      </c>
      <c r="H40" s="75" t="s">
        <v>37</v>
      </c>
      <c r="I40" s="57"/>
      <c r="J40" s="106">
        <v>93.035</v>
      </c>
      <c r="K40" s="106">
        <v>4.009</v>
      </c>
      <c r="L40" s="107">
        <v>17.333</v>
      </c>
    </row>
    <row r="41" ht="15" customHeight="1" spans="1:12">
      <c r="A41" s="73"/>
      <c r="B41" s="54"/>
      <c r="C41" s="61" t="s">
        <v>38</v>
      </c>
      <c r="D41" s="60">
        <v>4244.9</v>
      </c>
      <c r="E41" s="60">
        <v>3833.95</v>
      </c>
      <c r="F41" s="88">
        <v>3660.35</v>
      </c>
      <c r="H41" s="99"/>
      <c r="I41" s="61" t="s">
        <v>38</v>
      </c>
      <c r="J41" s="69">
        <v>252.363</v>
      </c>
      <c r="K41" s="69">
        <v>295.487</v>
      </c>
      <c r="L41" s="96">
        <v>306.268</v>
      </c>
    </row>
    <row r="42" ht="15" customHeight="1" spans="1:12">
      <c r="A42" s="73"/>
      <c r="B42" s="54"/>
      <c r="C42" s="74"/>
      <c r="D42" s="62" t="s">
        <v>15</v>
      </c>
      <c r="E42" s="17" t="s">
        <v>15</v>
      </c>
      <c r="F42" s="17" t="s">
        <v>15</v>
      </c>
      <c r="H42" s="99"/>
      <c r="I42" s="74"/>
      <c r="J42" s="62" t="s">
        <v>15</v>
      </c>
      <c r="K42" s="17" t="s">
        <v>15</v>
      </c>
      <c r="L42" s="17" t="s">
        <v>15</v>
      </c>
    </row>
    <row r="43" ht="15" customHeight="1" spans="1:12">
      <c r="A43" s="73"/>
      <c r="B43" s="55"/>
      <c r="C43" s="63"/>
      <c r="D43" s="67">
        <v>0.023</v>
      </c>
      <c r="E43" s="91">
        <v>0.066</v>
      </c>
      <c r="F43" s="92">
        <v>0.072</v>
      </c>
      <c r="H43" s="100"/>
      <c r="I43" s="63"/>
      <c r="J43" s="70">
        <f>J40/J41</f>
        <v>0.368655468511628</v>
      </c>
      <c r="K43" s="70">
        <f>K40/K41</f>
        <v>0.0135674327466183</v>
      </c>
      <c r="L43" s="70">
        <f>L40/L41</f>
        <v>0.0565942246659788</v>
      </c>
    </row>
    <row r="44" ht="15" customHeight="1" spans="1:12">
      <c r="A44" s="73"/>
      <c r="B44" s="75" t="s">
        <v>39</v>
      </c>
      <c r="C44" s="57"/>
      <c r="D44" s="68">
        <v>99</v>
      </c>
      <c r="E44" s="68">
        <v>254.3</v>
      </c>
      <c r="F44" s="93">
        <v>263.2</v>
      </c>
      <c r="H44" s="75" t="s">
        <v>39</v>
      </c>
      <c r="I44" s="57"/>
      <c r="J44" s="106">
        <v>93.035</v>
      </c>
      <c r="K44" s="106">
        <v>4.009</v>
      </c>
      <c r="L44" s="107">
        <v>17.333</v>
      </c>
    </row>
    <row r="45" ht="15" customHeight="1" spans="1:12">
      <c r="A45" s="73"/>
      <c r="B45" s="76"/>
      <c r="C45" s="61" t="s">
        <v>40</v>
      </c>
      <c r="D45" s="60">
        <v>7533.3</v>
      </c>
      <c r="E45" s="60">
        <v>8208.25</v>
      </c>
      <c r="F45" s="88">
        <v>9256.55</v>
      </c>
      <c r="H45" s="99"/>
      <c r="I45" s="61" t="s">
        <v>40</v>
      </c>
      <c r="J45" s="69">
        <v>447.855</v>
      </c>
      <c r="K45" s="69">
        <v>489.139</v>
      </c>
      <c r="L45" s="96">
        <v>488.431</v>
      </c>
    </row>
    <row r="46" ht="15" customHeight="1" spans="1:12">
      <c r="A46" s="73"/>
      <c r="B46" s="76"/>
      <c r="C46" s="61"/>
      <c r="D46" s="62" t="s">
        <v>15</v>
      </c>
      <c r="E46" s="17" t="s">
        <v>15</v>
      </c>
      <c r="F46" s="17" t="s">
        <v>15</v>
      </c>
      <c r="H46" s="99"/>
      <c r="I46" s="61"/>
      <c r="J46" s="62" t="s">
        <v>15</v>
      </c>
      <c r="K46" s="17" t="s">
        <v>15</v>
      </c>
      <c r="L46" s="17" t="s">
        <v>15</v>
      </c>
    </row>
    <row r="47" ht="15" customHeight="1" spans="1:12">
      <c r="A47" s="73"/>
      <c r="B47" s="77"/>
      <c r="C47" s="63"/>
      <c r="D47" s="70">
        <f>D44/D45</f>
        <v>0.0131416510692525</v>
      </c>
      <c r="E47" s="70">
        <f>E44/E45</f>
        <v>0.030981025188073</v>
      </c>
      <c r="F47" s="70">
        <f>F44/F45</f>
        <v>0.0284339197649232</v>
      </c>
      <c r="H47" s="100"/>
      <c r="I47" s="63"/>
      <c r="J47" s="70">
        <f>J44/J45</f>
        <v>0.207734646258276</v>
      </c>
      <c r="K47" s="70">
        <f>K44/K45</f>
        <v>0.00819603425611125</v>
      </c>
      <c r="L47" s="70">
        <f>L44/L45</f>
        <v>0.035487100532112</v>
      </c>
    </row>
    <row r="48" ht="15" customHeight="1" spans="1:12">
      <c r="A48" s="73"/>
      <c r="B48" s="75" t="s">
        <v>41</v>
      </c>
      <c r="C48" s="57"/>
      <c r="D48" s="68">
        <v>1234.6</v>
      </c>
      <c r="E48" s="68">
        <v>1074.6</v>
      </c>
      <c r="F48" s="93">
        <v>1043.3</v>
      </c>
      <c r="H48" s="75" t="s">
        <v>41</v>
      </c>
      <c r="I48" s="57"/>
      <c r="J48" s="106">
        <v>37.472</v>
      </c>
      <c r="K48" s="106">
        <v>75.109</v>
      </c>
      <c r="L48" s="107">
        <v>85.347</v>
      </c>
    </row>
    <row r="49" ht="15" customHeight="1" spans="1:12">
      <c r="A49" s="73"/>
      <c r="B49" s="76"/>
      <c r="C49" s="61" t="s">
        <v>42</v>
      </c>
      <c r="D49" s="60">
        <v>2808.3</v>
      </c>
      <c r="E49" s="60">
        <v>2488.3</v>
      </c>
      <c r="F49" s="88">
        <v>2531.8</v>
      </c>
      <c r="H49" s="99"/>
      <c r="I49" s="61" t="s">
        <v>42</v>
      </c>
      <c r="J49" s="69">
        <v>260.594</v>
      </c>
      <c r="K49" s="69">
        <v>258.557</v>
      </c>
      <c r="L49" s="96">
        <v>260.099</v>
      </c>
    </row>
    <row r="50" ht="15" customHeight="1" spans="1:12">
      <c r="A50" s="73"/>
      <c r="B50" s="76"/>
      <c r="C50" s="61"/>
      <c r="D50" s="62" t="s">
        <v>15</v>
      </c>
      <c r="E50" s="17" t="s">
        <v>15</v>
      </c>
      <c r="F50" s="17" t="s">
        <v>15</v>
      </c>
      <c r="H50" s="99"/>
      <c r="I50" s="61"/>
      <c r="J50" s="62" t="s">
        <v>15</v>
      </c>
      <c r="K50" s="17" t="s">
        <v>15</v>
      </c>
      <c r="L50" s="17" t="s">
        <v>15</v>
      </c>
    </row>
    <row r="51" ht="15" customHeight="1" spans="1:12">
      <c r="A51" s="73"/>
      <c r="B51" s="77"/>
      <c r="C51" s="63"/>
      <c r="D51" s="70">
        <f>D48/D49</f>
        <v>0.439625396147135</v>
      </c>
      <c r="E51" s="70">
        <f>E48/E49</f>
        <v>0.431861109994776</v>
      </c>
      <c r="F51" s="70">
        <f>F48/F49</f>
        <v>0.412078363219844</v>
      </c>
      <c r="H51" s="100"/>
      <c r="I51" s="63"/>
      <c r="J51" s="70">
        <f>J48/J49</f>
        <v>0.143794561655295</v>
      </c>
      <c r="K51" s="70">
        <f>K48/K49</f>
        <v>0.290493005410799</v>
      </c>
      <c r="L51" s="70">
        <f>L48/L49</f>
        <v>0.328132749453093</v>
      </c>
    </row>
    <row r="52" ht="15" customHeight="1" spans="1:12">
      <c r="A52" s="73"/>
      <c r="B52" s="75" t="s">
        <v>43</v>
      </c>
      <c r="C52" s="78"/>
      <c r="D52" s="79">
        <v>99</v>
      </c>
      <c r="E52" s="68">
        <v>254.3</v>
      </c>
      <c r="F52" s="93">
        <v>263.2</v>
      </c>
      <c r="H52" s="75" t="s">
        <v>43</v>
      </c>
      <c r="I52" s="78"/>
      <c r="J52" s="106">
        <v>93.035</v>
      </c>
      <c r="K52" s="106">
        <v>4.009</v>
      </c>
      <c r="L52" s="107">
        <v>17.333</v>
      </c>
    </row>
    <row r="53" ht="15" customHeight="1" spans="1:12">
      <c r="A53" s="73"/>
      <c r="B53" s="76"/>
      <c r="C53" s="51" t="s">
        <v>44</v>
      </c>
      <c r="D53" s="52">
        <v>2808.3</v>
      </c>
      <c r="E53" s="60">
        <v>2488.3</v>
      </c>
      <c r="F53" s="88">
        <v>2531.8</v>
      </c>
      <c r="H53" s="99"/>
      <c r="I53" s="51" t="s">
        <v>44</v>
      </c>
      <c r="J53" s="69">
        <v>260.594</v>
      </c>
      <c r="K53" s="69">
        <v>258.557</v>
      </c>
      <c r="L53" s="96">
        <v>260.099</v>
      </c>
    </row>
    <row r="54" ht="14.5" customHeight="1" spans="1:12">
      <c r="A54" s="73"/>
      <c r="B54" s="76"/>
      <c r="C54" s="51"/>
      <c r="D54" s="17" t="s">
        <v>15</v>
      </c>
      <c r="E54" s="17" t="s">
        <v>15</v>
      </c>
      <c r="F54" s="17" t="s">
        <v>15</v>
      </c>
      <c r="H54" s="99"/>
      <c r="I54" s="51"/>
      <c r="J54" s="17" t="s">
        <v>15</v>
      </c>
      <c r="K54" s="17" t="s">
        <v>15</v>
      </c>
      <c r="L54" s="17" t="s">
        <v>15</v>
      </c>
    </row>
    <row r="55" ht="15" customHeight="1" spans="1:12">
      <c r="A55" s="73"/>
      <c r="B55" s="77"/>
      <c r="C55" s="80"/>
      <c r="D55" s="56">
        <f>D52/D53</f>
        <v>0.0352526439482961</v>
      </c>
      <c r="E55" s="56">
        <f>E52/E53</f>
        <v>0.102198287987783</v>
      </c>
      <c r="F55" s="56">
        <f>F52/F53</f>
        <v>0.103957658582826</v>
      </c>
      <c r="H55" s="100"/>
      <c r="I55" s="80"/>
      <c r="J55" s="56">
        <f>J52/J53</f>
        <v>0.357011289592239</v>
      </c>
      <c r="K55" s="56">
        <f>K52/K53</f>
        <v>0.0155052851015443</v>
      </c>
      <c r="L55" s="56">
        <f>L52/L53</f>
        <v>0.0666400101499813</v>
      </c>
    </row>
    <row r="56" ht="14.5" customHeight="1" spans="1:12">
      <c r="A56" s="73"/>
      <c r="B56" s="75" t="s">
        <v>45</v>
      </c>
      <c r="C56" s="57"/>
      <c r="D56" s="68">
        <v>431.7</v>
      </c>
      <c r="E56" s="68">
        <v>272</v>
      </c>
      <c r="F56" s="93">
        <v>562</v>
      </c>
      <c r="H56" s="75" t="s">
        <v>45</v>
      </c>
      <c r="I56" s="57"/>
      <c r="J56" s="106">
        <v>10.958</v>
      </c>
      <c r="K56" s="106">
        <v>12.717</v>
      </c>
      <c r="L56" s="107">
        <v>15.351</v>
      </c>
    </row>
    <row r="57" ht="14.5" customHeight="1" spans="1:12">
      <c r="A57" s="73"/>
      <c r="B57" s="76"/>
      <c r="C57" s="61" t="s">
        <v>46</v>
      </c>
      <c r="D57" s="52">
        <v>2808.3</v>
      </c>
      <c r="E57" s="60">
        <v>2488.3</v>
      </c>
      <c r="F57" s="88">
        <v>2531.8</v>
      </c>
      <c r="H57" s="99"/>
      <c r="I57" s="61" t="s">
        <v>46</v>
      </c>
      <c r="J57" s="69">
        <v>260.594</v>
      </c>
      <c r="K57" s="69">
        <v>258.557</v>
      </c>
      <c r="L57" s="96">
        <v>260.099</v>
      </c>
    </row>
    <row r="58" ht="14.5" customHeight="1" spans="1:12">
      <c r="A58" s="73"/>
      <c r="B58" s="76"/>
      <c r="C58" s="61"/>
      <c r="D58" s="62" t="s">
        <v>15</v>
      </c>
      <c r="E58" s="17" t="s">
        <v>15</v>
      </c>
      <c r="F58" s="17" t="s">
        <v>15</v>
      </c>
      <c r="H58" s="99"/>
      <c r="I58" s="61"/>
      <c r="J58" s="62" t="s">
        <v>15</v>
      </c>
      <c r="K58" s="17" t="s">
        <v>15</v>
      </c>
      <c r="L58" s="17" t="s">
        <v>15</v>
      </c>
    </row>
    <row r="59" ht="15" customHeight="1" spans="1:12">
      <c r="A59" s="73"/>
      <c r="B59" s="77"/>
      <c r="C59" s="63"/>
      <c r="D59" s="70">
        <f>D56/D57</f>
        <v>0.153722892853328</v>
      </c>
      <c r="E59" s="70">
        <f>E56/E57</f>
        <v>0.10931157818591</v>
      </c>
      <c r="F59" s="70">
        <f>F56/F57</f>
        <v>0.221976459435974</v>
      </c>
      <c r="H59" s="100"/>
      <c r="I59" s="63"/>
      <c r="J59" s="70">
        <f>J56/J57</f>
        <v>0.0420500855737277</v>
      </c>
      <c r="K59" s="70">
        <f>K56/K57</f>
        <v>0.0491845125059465</v>
      </c>
      <c r="L59" s="70">
        <f>L56/L57</f>
        <v>0.0590198347552278</v>
      </c>
    </row>
    <row r="60" spans="1:12">
      <c r="A60" s="73"/>
      <c r="B60" s="75" t="s">
        <v>47</v>
      </c>
      <c r="C60" s="57"/>
      <c r="D60" s="52">
        <v>2808.3</v>
      </c>
      <c r="E60" s="60">
        <v>2488.3</v>
      </c>
      <c r="F60" s="88">
        <v>2531.8</v>
      </c>
      <c r="H60" s="75" t="s">
        <v>47</v>
      </c>
      <c r="I60" s="57"/>
      <c r="J60" s="69">
        <v>260.594</v>
      </c>
      <c r="K60" s="69">
        <v>258.557</v>
      </c>
      <c r="L60" s="96">
        <v>260.099</v>
      </c>
    </row>
    <row r="61" spans="1:12">
      <c r="A61" s="73"/>
      <c r="B61" s="76"/>
      <c r="C61" s="61" t="s">
        <v>48</v>
      </c>
      <c r="D61" s="60">
        <v>7533.25</v>
      </c>
      <c r="E61" s="60">
        <v>8208.25</v>
      </c>
      <c r="F61" s="88">
        <v>9256.55</v>
      </c>
      <c r="H61" s="99"/>
      <c r="I61" s="61" t="s">
        <v>48</v>
      </c>
      <c r="J61" s="69">
        <v>447.855</v>
      </c>
      <c r="K61" s="69">
        <v>489.139</v>
      </c>
      <c r="L61" s="96">
        <v>488.431</v>
      </c>
    </row>
    <row r="62" spans="1:12">
      <c r="A62" s="73"/>
      <c r="B62" s="76"/>
      <c r="C62" s="61"/>
      <c r="D62" s="62" t="s">
        <v>15</v>
      </c>
      <c r="E62" s="17" t="s">
        <v>15</v>
      </c>
      <c r="F62" s="17" t="s">
        <v>15</v>
      </c>
      <c r="H62" s="99"/>
      <c r="I62" s="61"/>
      <c r="J62" s="62" t="s">
        <v>15</v>
      </c>
      <c r="K62" s="17" t="s">
        <v>15</v>
      </c>
      <c r="L62" s="17" t="s">
        <v>15</v>
      </c>
    </row>
    <row r="63" ht="15.95" spans="1:12">
      <c r="A63" s="81"/>
      <c r="B63" s="77"/>
      <c r="C63" s="63"/>
      <c r="D63" s="70">
        <f>D60/D61</f>
        <v>0.372787309594133</v>
      </c>
      <c r="E63" s="70">
        <f>E60/E61</f>
        <v>0.30314622483477</v>
      </c>
      <c r="F63" s="70">
        <f>F60/F61</f>
        <v>0.273514430322312</v>
      </c>
      <c r="H63" s="100"/>
      <c r="I63" s="63"/>
      <c r="J63" s="70">
        <f>J60/J61</f>
        <v>0.58187136461578</v>
      </c>
      <c r="K63" s="70">
        <f>K60/K61</f>
        <v>0.528596165916028</v>
      </c>
      <c r="L63" s="70">
        <f>L60/L61</f>
        <v>0.532519434679617</v>
      </c>
    </row>
    <row r="64" ht="12.75" customHeight="1" spans="1:12">
      <c r="A64" s="82" t="s">
        <v>49</v>
      </c>
      <c r="B64" s="75" t="s">
        <v>50</v>
      </c>
      <c r="C64" s="57"/>
      <c r="D64" s="68">
        <v>658.1</v>
      </c>
      <c r="E64" s="68">
        <v>409.7</v>
      </c>
      <c r="F64" s="93">
        <v>444.3</v>
      </c>
      <c r="H64" s="75" t="s">
        <v>50</v>
      </c>
      <c r="I64" s="57"/>
      <c r="J64" s="106">
        <v>78.288</v>
      </c>
      <c r="K64" s="106">
        <v>4.804</v>
      </c>
      <c r="L64" s="107">
        <v>27.358</v>
      </c>
    </row>
    <row r="65" ht="15" customHeight="1" spans="1:12">
      <c r="A65" s="108"/>
      <c r="B65" s="76"/>
      <c r="C65" s="61" t="s">
        <v>51</v>
      </c>
      <c r="D65" s="60">
        <v>96.6</v>
      </c>
      <c r="E65" s="60">
        <v>72.7</v>
      </c>
      <c r="F65" s="88">
        <v>71.4</v>
      </c>
      <c r="H65" s="99"/>
      <c r="I65" s="61" t="s">
        <v>51</v>
      </c>
      <c r="J65" s="69">
        <v>5.663</v>
      </c>
      <c r="K65" s="69">
        <v>4.547</v>
      </c>
      <c r="L65" s="96">
        <v>2.688</v>
      </c>
    </row>
    <row r="66" ht="15" customHeight="1" spans="1:12">
      <c r="A66" s="108"/>
      <c r="B66" s="76"/>
      <c r="C66" s="61"/>
      <c r="D66" s="62" t="s">
        <v>15</v>
      </c>
      <c r="E66" s="17" t="s">
        <v>15</v>
      </c>
      <c r="F66" s="17" t="s">
        <v>15</v>
      </c>
      <c r="H66" s="99"/>
      <c r="I66" s="61"/>
      <c r="J66" s="62" t="s">
        <v>15</v>
      </c>
      <c r="K66" s="17" t="s">
        <v>15</v>
      </c>
      <c r="L66" s="17" t="s">
        <v>15</v>
      </c>
    </row>
    <row r="67" ht="15.75" customHeight="1" spans="1:12">
      <c r="A67" s="108"/>
      <c r="B67" s="77"/>
      <c r="C67" s="63"/>
      <c r="D67" s="70">
        <f>D64/D65</f>
        <v>6.81262939958592</v>
      </c>
      <c r="E67" s="70">
        <f>E64/E65</f>
        <v>5.63548830811554</v>
      </c>
      <c r="F67" s="70">
        <f>F64/F65</f>
        <v>6.22268907563025</v>
      </c>
      <c r="H67" s="100"/>
      <c r="I67" s="63"/>
      <c r="J67" s="70">
        <f>J64/J65</f>
        <v>13.8244746600742</v>
      </c>
      <c r="K67" s="70">
        <f>K64/K65</f>
        <v>1.0565207829338</v>
      </c>
      <c r="L67" s="70">
        <f>L64/L65</f>
        <v>10.1778273809524</v>
      </c>
    </row>
    <row r="68" ht="15" customHeight="1" spans="1:12">
      <c r="A68" s="108"/>
      <c r="B68" s="75" t="s">
        <v>52</v>
      </c>
      <c r="C68" s="78"/>
      <c r="D68" s="79">
        <v>3501.9</v>
      </c>
      <c r="E68" s="68">
        <v>3212.4</v>
      </c>
      <c r="F68" s="93">
        <v>2874.7</v>
      </c>
      <c r="H68" s="75" t="s">
        <v>52</v>
      </c>
      <c r="I68" s="78"/>
      <c r="J68" s="123">
        <v>201.828</v>
      </c>
      <c r="K68" s="106">
        <v>189.157</v>
      </c>
      <c r="L68" s="107">
        <v>198.148</v>
      </c>
    </row>
    <row r="69" ht="15" customHeight="1" spans="1:12">
      <c r="A69" s="108"/>
      <c r="B69" s="76"/>
      <c r="C69" s="51" t="s">
        <v>53</v>
      </c>
      <c r="D69" s="52">
        <v>8112.8</v>
      </c>
      <c r="E69" s="60">
        <v>7091.3</v>
      </c>
      <c r="F69" s="88">
        <v>6663.7</v>
      </c>
      <c r="H69" s="99"/>
      <c r="I69" s="51" t="s">
        <v>53</v>
      </c>
      <c r="J69" s="101">
        <v>415.433</v>
      </c>
      <c r="K69" s="69">
        <v>480.277</v>
      </c>
      <c r="L69" s="96">
        <v>498.001</v>
      </c>
    </row>
    <row r="70" ht="15" customHeight="1" spans="1:12">
      <c r="A70" s="108"/>
      <c r="B70" s="76"/>
      <c r="C70" s="51"/>
      <c r="D70" s="17" t="s">
        <v>15</v>
      </c>
      <c r="E70" s="17" t="s">
        <v>15</v>
      </c>
      <c r="F70" s="17" t="s">
        <v>15</v>
      </c>
      <c r="H70" s="99"/>
      <c r="I70" s="51"/>
      <c r="J70" s="17" t="s">
        <v>15</v>
      </c>
      <c r="K70" s="17" t="s">
        <v>15</v>
      </c>
      <c r="L70" s="17" t="s">
        <v>15</v>
      </c>
    </row>
    <row r="71" ht="15.75" customHeight="1" spans="1:12">
      <c r="A71" s="108"/>
      <c r="B71" s="77"/>
      <c r="C71" s="80"/>
      <c r="D71" s="56">
        <f>D68/D69</f>
        <v>0.431651217828616</v>
      </c>
      <c r="E71" s="56">
        <f>E68/E69</f>
        <v>0.453005795834332</v>
      </c>
      <c r="F71" s="56">
        <f>F68/F69</f>
        <v>0.431396971652385</v>
      </c>
      <c r="H71" s="100"/>
      <c r="I71" s="80"/>
      <c r="J71" s="56">
        <f>J68/J69</f>
        <v>0.485825632532803</v>
      </c>
      <c r="K71" s="56">
        <f>K68/K69</f>
        <v>0.393849799178391</v>
      </c>
      <c r="L71" s="56">
        <f>L68/L69</f>
        <v>0.397886751231423</v>
      </c>
    </row>
    <row r="72" ht="15" customHeight="1" spans="1:12">
      <c r="A72" s="108"/>
      <c r="B72" s="75" t="s">
        <v>54</v>
      </c>
      <c r="C72" s="78"/>
      <c r="D72" s="68">
        <v>431.7</v>
      </c>
      <c r="E72" s="68">
        <v>272</v>
      </c>
      <c r="F72" s="93">
        <v>562</v>
      </c>
      <c r="H72" s="75" t="s">
        <v>54</v>
      </c>
      <c r="I72" s="78"/>
      <c r="J72" s="106">
        <v>10.958</v>
      </c>
      <c r="K72" s="106">
        <v>12.717</v>
      </c>
      <c r="L72" s="107">
        <v>15.351</v>
      </c>
    </row>
    <row r="73" ht="14.5" customHeight="1" spans="1:12">
      <c r="A73" s="108"/>
      <c r="B73" s="76"/>
      <c r="C73" s="51" t="s">
        <v>55</v>
      </c>
      <c r="D73" s="52">
        <v>3288.4</v>
      </c>
      <c r="E73" s="60">
        <v>2974.75</v>
      </c>
      <c r="F73" s="88">
        <v>2783.85</v>
      </c>
      <c r="H73" s="99"/>
      <c r="I73" s="51" t="s">
        <v>55</v>
      </c>
      <c r="J73" s="101">
        <v>195.493</v>
      </c>
      <c r="K73" s="69">
        <v>193.653</v>
      </c>
      <c r="L73" s="96">
        <v>182.163</v>
      </c>
    </row>
    <row r="74" ht="14.5" customHeight="1" spans="1:12">
      <c r="A74" s="108"/>
      <c r="B74" s="76"/>
      <c r="C74" s="51"/>
      <c r="D74" s="17" t="s">
        <v>15</v>
      </c>
      <c r="E74" s="17" t="s">
        <v>15</v>
      </c>
      <c r="F74" s="17" t="s">
        <v>15</v>
      </c>
      <c r="H74" s="99"/>
      <c r="I74" s="51"/>
      <c r="J74" s="17" t="s">
        <v>15</v>
      </c>
      <c r="K74" s="17" t="s">
        <v>15</v>
      </c>
      <c r="L74" s="17" t="s">
        <v>15</v>
      </c>
    </row>
    <row r="75" ht="15" customHeight="1" spans="1:12">
      <c r="A75" s="109"/>
      <c r="B75" s="77"/>
      <c r="C75" s="80"/>
      <c r="D75" s="56">
        <f>D72/D73</f>
        <v>0.131279649677655</v>
      </c>
      <c r="E75" s="56">
        <f>E72/E73</f>
        <v>0.0914362551474914</v>
      </c>
      <c r="F75" s="56">
        <f>F72/F73</f>
        <v>0.201878693176716</v>
      </c>
      <c r="H75" s="100"/>
      <c r="I75" s="80"/>
      <c r="J75" s="56">
        <f>J72/J73</f>
        <v>0.0560531579135826</v>
      </c>
      <c r="K75" s="56">
        <f>K72/K73</f>
        <v>0.0656690059023098</v>
      </c>
      <c r="L75" s="56">
        <f>L72/L73</f>
        <v>0.0842706806541394</v>
      </c>
    </row>
    <row r="76" ht="14.5" customHeight="1" spans="1:12">
      <c r="A76" s="110" t="s">
        <v>56</v>
      </c>
      <c r="B76" s="50" t="s">
        <v>57</v>
      </c>
      <c r="C76" s="111" t="s">
        <v>58</v>
      </c>
      <c r="D76" s="79">
        <v>99</v>
      </c>
      <c r="E76" s="68">
        <v>254.3</v>
      </c>
      <c r="F76" s="93">
        <v>263.2</v>
      </c>
      <c r="H76" s="75" t="s">
        <v>57</v>
      </c>
      <c r="I76" s="111" t="s">
        <v>59</v>
      </c>
      <c r="J76" s="106">
        <v>93.035</v>
      </c>
      <c r="K76" s="106">
        <v>4.009</v>
      </c>
      <c r="L76" s="107">
        <v>17.333</v>
      </c>
    </row>
    <row r="77" ht="14.5" customHeight="1" spans="1:12">
      <c r="A77" s="112"/>
      <c r="B77" s="54"/>
      <c r="C77" s="113"/>
      <c r="D77" s="52">
        <v>778.8</v>
      </c>
      <c r="E77" s="60">
        <v>721.8</v>
      </c>
      <c r="F77" s="88">
        <v>721.8</v>
      </c>
      <c r="H77" s="99"/>
      <c r="I77" s="113"/>
      <c r="J77" s="101">
        <v>254.692</v>
      </c>
      <c r="K77" s="69">
        <v>252.638</v>
      </c>
      <c r="L77" s="69">
        <v>252.638</v>
      </c>
    </row>
    <row r="78" ht="14.5" customHeight="1" spans="1:12">
      <c r="A78" s="112"/>
      <c r="B78" s="54"/>
      <c r="C78" s="113"/>
      <c r="D78" s="17" t="s">
        <v>15</v>
      </c>
      <c r="E78" s="17" t="s">
        <v>15</v>
      </c>
      <c r="F78" s="17" t="s">
        <v>15</v>
      </c>
      <c r="H78" s="99"/>
      <c r="I78" s="113"/>
      <c r="J78" s="17" t="s">
        <v>15</v>
      </c>
      <c r="K78" s="17" t="s">
        <v>15</v>
      </c>
      <c r="L78" s="17" t="s">
        <v>15</v>
      </c>
    </row>
    <row r="79" ht="15" customHeight="1" spans="1:12">
      <c r="A79" s="112"/>
      <c r="B79" s="55"/>
      <c r="C79" s="114"/>
      <c r="D79" s="56">
        <f>D76/D77</f>
        <v>0.127118644067797</v>
      </c>
      <c r="E79" s="94">
        <f>E76/E77</f>
        <v>0.35231366029371</v>
      </c>
      <c r="F79" s="122">
        <f>F76/F77</f>
        <v>0.364643945691327</v>
      </c>
      <c r="H79" s="100"/>
      <c r="I79" s="114"/>
      <c r="J79" s="56">
        <f>J76/J77</f>
        <v>0.365284343442275</v>
      </c>
      <c r="K79" s="56">
        <f>K76/K77</f>
        <v>0.0158685550075602</v>
      </c>
      <c r="L79" s="56">
        <f>L76/L77</f>
        <v>0.0686080478787831</v>
      </c>
    </row>
    <row r="80" ht="15" customHeight="1" spans="1:12">
      <c r="A80" s="115"/>
      <c r="B80" s="50" t="s">
        <v>60</v>
      </c>
      <c r="C80" s="78"/>
      <c r="D80" s="79">
        <v>12.25</v>
      </c>
      <c r="E80" s="68">
        <v>10.89</v>
      </c>
      <c r="F80" s="93">
        <v>11.23</v>
      </c>
      <c r="H80" s="75" t="s">
        <v>60</v>
      </c>
      <c r="I80" s="78"/>
      <c r="J80" s="123">
        <v>0.375</v>
      </c>
      <c r="K80" s="106">
        <v>0.615</v>
      </c>
      <c r="L80" s="107">
        <v>0.74</v>
      </c>
    </row>
    <row r="81" ht="15" customHeight="1" spans="1:12">
      <c r="A81" s="115"/>
      <c r="B81" s="54"/>
      <c r="C81" s="113" t="s">
        <v>61</v>
      </c>
      <c r="D81" s="101">
        <v>0.127</v>
      </c>
      <c r="E81" s="69">
        <v>0.349</v>
      </c>
      <c r="F81" s="96">
        <v>0.365</v>
      </c>
      <c r="H81" s="99"/>
      <c r="I81" s="113" t="s">
        <v>62</v>
      </c>
      <c r="J81" s="124">
        <v>-0.29</v>
      </c>
      <c r="K81" s="69">
        <v>0.016</v>
      </c>
      <c r="L81" s="96">
        <v>0.069</v>
      </c>
    </row>
    <row r="82" spans="1:12">
      <c r="A82" s="115"/>
      <c r="B82" s="54"/>
      <c r="C82" s="51"/>
      <c r="D82" s="17" t="s">
        <v>15</v>
      </c>
      <c r="E82" s="17" t="s">
        <v>15</v>
      </c>
      <c r="F82" s="17" t="s">
        <v>15</v>
      </c>
      <c r="H82" s="99"/>
      <c r="I82" s="51"/>
      <c r="J82" s="17" t="s">
        <v>15</v>
      </c>
      <c r="K82" s="17" t="s">
        <v>15</v>
      </c>
      <c r="L82" s="17" t="s">
        <v>15</v>
      </c>
    </row>
    <row r="83" ht="15.95" spans="1:12">
      <c r="A83" s="116"/>
      <c r="B83" s="55"/>
      <c r="C83" s="80"/>
      <c r="D83" s="117">
        <f>D80/D81</f>
        <v>96.4566929133858</v>
      </c>
      <c r="E83" s="117">
        <f>E80/E81</f>
        <v>31.2034383954155</v>
      </c>
      <c r="F83" s="117">
        <f>F80/F81</f>
        <v>30.7671232876712</v>
      </c>
      <c r="H83" s="100"/>
      <c r="I83" s="80"/>
      <c r="J83" s="56">
        <f>J80/J81</f>
        <v>-1.29310344827586</v>
      </c>
      <c r="K83" s="56">
        <f>K80/K81</f>
        <v>38.4375</v>
      </c>
      <c r="L83" s="56">
        <f>L80/L81</f>
        <v>10.7246376811594</v>
      </c>
    </row>
    <row r="84" ht="15" customHeight="1" spans="1:6">
      <c r="A84" s="2"/>
      <c r="B84" s="118"/>
      <c r="C84" s="119"/>
      <c r="D84" s="120"/>
      <c r="E84" s="120"/>
      <c r="F84" s="120"/>
    </row>
    <row r="85" ht="15" customHeight="1" spans="1:6">
      <c r="A85" s="2"/>
      <c r="B85" s="121" t="s">
        <v>63</v>
      </c>
      <c r="C85" s="119"/>
      <c r="D85" s="120"/>
      <c r="E85" s="120"/>
      <c r="F85" s="120"/>
    </row>
    <row r="86" ht="15" customHeight="1" spans="2:3">
      <c r="B86" s="121"/>
      <c r="C86" s="1"/>
    </row>
    <row r="87" ht="15.75" customHeight="1" spans="3:3">
      <c r="C87" s="1"/>
    </row>
    <row r="88" ht="15" customHeight="1" spans="3:3">
      <c r="C88" s="1"/>
    </row>
    <row r="89" ht="15" customHeight="1" spans="3:3">
      <c r="C89" s="1"/>
    </row>
    <row r="90" ht="15" customHeight="1" spans="3:3">
      <c r="C90" s="1"/>
    </row>
    <row r="91" ht="15" customHeight="1" spans="3:3">
      <c r="C91" s="1"/>
    </row>
    <row r="92" ht="15.75" customHeight="1" spans="3:3">
      <c r="C92" s="1"/>
    </row>
    <row r="93" ht="15" customHeight="1" spans="3:3">
      <c r="C93" s="1"/>
    </row>
    <row r="94" ht="15" customHeight="1" spans="3:3">
      <c r="C94" s="1"/>
    </row>
    <row r="95" ht="15" customHeight="1" spans="3:3">
      <c r="C95" s="1"/>
    </row>
    <row r="96" ht="15" customHeight="1" spans="3:3">
      <c r="C96" s="1"/>
    </row>
    <row r="97" ht="15.75" customHeight="1" spans="3:3">
      <c r="C97" s="1"/>
    </row>
    <row r="98" ht="15" customHeight="1" spans="3:3">
      <c r="C98" s="1"/>
    </row>
    <row r="99" ht="15" customHeight="1" spans="3:3">
      <c r="C99" s="1"/>
    </row>
    <row r="100" ht="15" customHeight="1" spans="3:3">
      <c r="C100" s="1"/>
    </row>
    <row r="101" ht="15" customHeight="1" spans="3:3">
      <c r="C101" s="1"/>
    </row>
    <row r="102" ht="15.75" customHeight="1" spans="3:3">
      <c r="C102" s="1"/>
    </row>
    <row r="103" ht="15" customHeight="1" spans="3:3">
      <c r="C103" s="1"/>
    </row>
    <row r="104" ht="15" customHeight="1" spans="3:3">
      <c r="C104" s="1"/>
    </row>
    <row r="105" ht="15" customHeight="1" spans="3:3">
      <c r="C105" s="1"/>
    </row>
    <row r="106" ht="15" customHeight="1" spans="3:3">
      <c r="C106" s="1"/>
    </row>
    <row r="107" ht="15.75" customHeight="1" spans="3:3">
      <c r="C107" s="1"/>
    </row>
    <row r="108" ht="15" customHeight="1" spans="3:3">
      <c r="C108" s="1"/>
    </row>
    <row r="109" ht="15" customHeight="1" spans="3:3">
      <c r="C109" s="1"/>
    </row>
    <row r="110" ht="15" customHeight="1" spans="3:3">
      <c r="C110" s="1"/>
    </row>
    <row r="111" ht="15" customHeight="1" spans="3:3">
      <c r="C111" s="1"/>
    </row>
    <row r="112" ht="15.75" customHeight="1" spans="3:3">
      <c r="C112" s="1"/>
    </row>
    <row r="113" spans="3:3">
      <c r="C113" s="1"/>
    </row>
    <row r="114" spans="3:3">
      <c r="C114" s="1"/>
    </row>
    <row r="115" spans="3:3">
      <c r="C115" s="1"/>
    </row>
    <row r="116" spans="3:3">
      <c r="C116" s="1"/>
    </row>
    <row r="117" spans="3:3">
      <c r="C117" s="1"/>
    </row>
    <row r="118" spans="3:3">
      <c r="C118" s="1"/>
    </row>
    <row r="119" spans="3:3">
      <c r="C119" s="1"/>
    </row>
    <row r="120" spans="3:3">
      <c r="C120" s="1"/>
    </row>
    <row r="121" spans="3:3">
      <c r="C121" s="1"/>
    </row>
    <row r="122" spans="3:3">
      <c r="C122" s="1"/>
    </row>
    <row r="123" spans="3:3">
      <c r="C123" s="1"/>
    </row>
    <row r="124" spans="3:3">
      <c r="C124" s="1"/>
    </row>
    <row r="125" spans="3:3">
      <c r="C125" s="1"/>
    </row>
    <row r="126" spans="3:3">
      <c r="C126" s="1"/>
    </row>
    <row r="127" spans="3:3">
      <c r="C127" s="1"/>
    </row>
    <row r="128" spans="3:3">
      <c r="C128" s="1"/>
    </row>
    <row r="129" spans="3:3">
      <c r="C129" s="1"/>
    </row>
    <row r="130" spans="3:3">
      <c r="C130" s="1"/>
    </row>
    <row r="131" spans="3:3">
      <c r="C131" s="1"/>
    </row>
    <row r="132" spans="3:3">
      <c r="C132" s="1"/>
    </row>
    <row r="133" spans="3:3">
      <c r="C133" s="1"/>
    </row>
    <row r="134" spans="3:3">
      <c r="C134" s="1"/>
    </row>
    <row r="135" spans="3:3">
      <c r="C135" s="1"/>
    </row>
    <row r="136" spans="3:3">
      <c r="C136" s="1"/>
    </row>
    <row r="137" spans="3:3">
      <c r="C137" s="1"/>
    </row>
    <row r="138" spans="3:3">
      <c r="C138" s="1"/>
    </row>
    <row r="139" spans="3:3">
      <c r="C139" s="1"/>
    </row>
    <row r="140" spans="3:3">
      <c r="C140" s="1"/>
    </row>
    <row r="141" spans="3:3">
      <c r="C141" s="1"/>
    </row>
    <row r="142" spans="3:3">
      <c r="C142" s="1"/>
    </row>
    <row r="143" spans="3:3">
      <c r="C143" s="1"/>
    </row>
    <row r="144" spans="3:3">
      <c r="C144" s="1"/>
    </row>
    <row r="145" spans="3:3">
      <c r="C145" s="1"/>
    </row>
    <row r="146" spans="3:3">
      <c r="C146" s="1"/>
    </row>
    <row r="147" spans="3:3">
      <c r="C147" s="1"/>
    </row>
    <row r="148" spans="3:3">
      <c r="C148" s="1"/>
    </row>
    <row r="149" spans="3:3">
      <c r="C149" s="1"/>
    </row>
    <row r="150" spans="3:3">
      <c r="C150" s="1"/>
    </row>
    <row r="151" spans="3:3">
      <c r="C151" s="1"/>
    </row>
    <row r="152" spans="3:3">
      <c r="C152" s="1"/>
    </row>
    <row r="153" spans="3:3">
      <c r="C153" s="1"/>
    </row>
    <row r="154" spans="3:3">
      <c r="C154" s="1"/>
    </row>
    <row r="155" spans="3:3">
      <c r="C155" s="1"/>
    </row>
    <row r="156" spans="3:3">
      <c r="C156" s="1"/>
    </row>
    <row r="157" spans="3:3">
      <c r="C157" s="1"/>
    </row>
    <row r="158" spans="3:3">
      <c r="C158" s="1"/>
    </row>
    <row r="159" spans="3:3">
      <c r="C159" s="1"/>
    </row>
    <row r="160" spans="3:3">
      <c r="C160" s="1"/>
    </row>
    <row r="161" spans="3:3">
      <c r="C161" s="1"/>
    </row>
    <row r="162" spans="3:3">
      <c r="C162" s="1"/>
    </row>
    <row r="163" spans="3:3">
      <c r="C163" s="1"/>
    </row>
    <row r="164" spans="3:3">
      <c r="C164" s="1"/>
    </row>
    <row r="165" spans="3:3">
      <c r="C165" s="1"/>
    </row>
    <row r="166" spans="3:3">
      <c r="C166" s="1"/>
    </row>
    <row r="167" spans="3:3">
      <c r="C167" s="1"/>
    </row>
    <row r="168" spans="3:3">
      <c r="C168" s="1"/>
    </row>
    <row r="169" spans="3:3">
      <c r="C169" s="1"/>
    </row>
    <row r="170" spans="3:3">
      <c r="C170" s="1"/>
    </row>
    <row r="171" spans="3:3">
      <c r="C171" s="1"/>
    </row>
    <row r="172" spans="3:3">
      <c r="C172" s="1"/>
    </row>
    <row r="173" spans="3:3">
      <c r="C173" s="1"/>
    </row>
    <row r="174" spans="3:3">
      <c r="C174" s="1"/>
    </row>
  </sheetData>
  <mergeCells count="54">
    <mergeCell ref="A1:B1"/>
    <mergeCell ref="A2:B2"/>
    <mergeCell ref="B13:C13"/>
    <mergeCell ref="H13:I13"/>
    <mergeCell ref="A16:A39"/>
    <mergeCell ref="A40:A63"/>
    <mergeCell ref="A64:A75"/>
    <mergeCell ref="A76:A83"/>
    <mergeCell ref="B14:B15"/>
    <mergeCell ref="B16:B19"/>
    <mergeCell ref="B20:B23"/>
    <mergeCell ref="B24:B27"/>
    <mergeCell ref="B28:B31"/>
    <mergeCell ref="B32:B35"/>
    <mergeCell ref="B36:B39"/>
    <mergeCell ref="B40:B43"/>
    <mergeCell ref="B44:B47"/>
    <mergeCell ref="B48:B51"/>
    <mergeCell ref="B52:B55"/>
    <mergeCell ref="B56:B59"/>
    <mergeCell ref="B60:B63"/>
    <mergeCell ref="B64:B67"/>
    <mergeCell ref="B68:B71"/>
    <mergeCell ref="B72:B75"/>
    <mergeCell ref="B76:B79"/>
    <mergeCell ref="B80:B83"/>
    <mergeCell ref="C14:C15"/>
    <mergeCell ref="C76:C79"/>
    <mergeCell ref="D14:D15"/>
    <mergeCell ref="E14:E15"/>
    <mergeCell ref="F14:F15"/>
    <mergeCell ref="H14:H15"/>
    <mergeCell ref="H16:H19"/>
    <mergeCell ref="H20:H23"/>
    <mergeCell ref="H24:H27"/>
    <mergeCell ref="H28:H31"/>
    <mergeCell ref="H32:H35"/>
    <mergeCell ref="H36:H39"/>
    <mergeCell ref="H40:H43"/>
    <mergeCell ref="H44:H47"/>
    <mergeCell ref="H48:H51"/>
    <mergeCell ref="H52:H55"/>
    <mergeCell ref="H56:H59"/>
    <mergeCell ref="H60:H63"/>
    <mergeCell ref="H64:H67"/>
    <mergeCell ref="H68:H71"/>
    <mergeCell ref="H72:H75"/>
    <mergeCell ref="H76:H79"/>
    <mergeCell ref="H80:H83"/>
    <mergeCell ref="I14:I15"/>
    <mergeCell ref="I76:I79"/>
    <mergeCell ref="J14:J15"/>
    <mergeCell ref="K14:K15"/>
    <mergeCell ref="L14:L15"/>
  </mergeCells>
  <pageMargins left="0.62992125984252" right="0.236220472440945" top="0.748031496062992" bottom="0.354330708661417" header="0.31496062992126" footer="0.31496062992126"/>
  <pageSetup paperSize="9" scale="33" fitToHeight="2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0"/>
  <sheetViews>
    <sheetView topLeftCell="A8" workbookViewId="0">
      <selection activeCell="F15" sqref="F15"/>
    </sheetView>
  </sheetViews>
  <sheetFormatPr defaultColWidth="9.18269230769231" defaultRowHeight="15.2" outlineLevelCol="6"/>
  <cols>
    <col min="1" max="1" width="10.4519230769231" style="1" customWidth="1"/>
    <col min="2" max="2" width="17" style="1" customWidth="1"/>
    <col min="3" max="3" width="44" style="2" customWidth="1"/>
    <col min="4" max="4" width="24" style="1" customWidth="1"/>
    <col min="5" max="5" width="22.1826923076923" style="1" customWidth="1"/>
    <col min="6" max="6" width="24.4519230769231" style="1" customWidth="1"/>
    <col min="7" max="7" width="3.45192307692308" style="1" customWidth="1"/>
    <col min="8" max="16384" width="9.18269230769231" style="1"/>
  </cols>
  <sheetData>
    <row r="1" ht="15.95" spans="1:7">
      <c r="A1" s="3" t="s">
        <v>0</v>
      </c>
      <c r="B1" s="3"/>
      <c r="C1" s="4"/>
      <c r="D1" s="5"/>
      <c r="E1" s="5"/>
      <c r="F1" s="5"/>
      <c r="G1" s="5"/>
    </row>
    <row r="2" ht="15.95" spans="1:7">
      <c r="A2" s="3" t="s">
        <v>1</v>
      </c>
      <c r="B2" s="3"/>
      <c r="C2" s="6" t="s">
        <v>64</v>
      </c>
      <c r="D2" s="7"/>
      <c r="E2" s="21" t="s">
        <v>65</v>
      </c>
      <c r="F2" s="22"/>
      <c r="G2" s="5"/>
    </row>
    <row r="3" spans="1:7">
      <c r="A3" s="3"/>
      <c r="B3" s="3"/>
      <c r="C3" s="8"/>
      <c r="D3" s="9"/>
      <c r="E3" s="23"/>
      <c r="F3" s="23"/>
      <c r="G3" s="5"/>
    </row>
    <row r="5" ht="15.95" spans="4:6">
      <c r="D5" s="10"/>
      <c r="E5" s="10"/>
      <c r="F5" s="10"/>
    </row>
    <row r="6" ht="15.75" customHeight="1" spans="3:6">
      <c r="C6" s="11" t="s">
        <v>66</v>
      </c>
      <c r="D6" s="12">
        <v>2024</v>
      </c>
      <c r="E6" s="24">
        <v>2023</v>
      </c>
      <c r="F6" s="25">
        <v>2022</v>
      </c>
    </row>
    <row r="7" spans="3:6">
      <c r="C7" s="13" t="s">
        <v>67</v>
      </c>
      <c r="D7" s="14"/>
      <c r="E7" s="26"/>
      <c r="F7" s="27"/>
    </row>
    <row r="8" ht="15" customHeight="1" spans="3:6">
      <c r="C8" s="15"/>
      <c r="D8" s="16"/>
      <c r="E8" s="28"/>
      <c r="F8" s="29">
        <v>1</v>
      </c>
    </row>
    <row r="9" ht="15" customHeight="1" spans="3:6">
      <c r="C9" s="15"/>
      <c r="D9" s="17"/>
      <c r="E9" s="17"/>
      <c r="F9" s="30"/>
    </row>
    <row r="10" ht="15.75" customHeight="1" spans="3:6">
      <c r="C10" s="15" t="s">
        <v>68</v>
      </c>
      <c r="D10" s="18"/>
      <c r="E10" s="31"/>
      <c r="F10" s="32"/>
    </row>
    <row r="11" ht="15.75" customHeight="1" spans="3:6">
      <c r="C11" s="19"/>
      <c r="D11" s="20"/>
      <c r="E11" s="20"/>
      <c r="F11" s="33">
        <v>1</v>
      </c>
    </row>
    <row r="14" ht="15.95"/>
    <row r="15" ht="18.35" spans="3:6">
      <c r="C15" s="11" t="s">
        <v>69</v>
      </c>
      <c r="D15" s="12">
        <v>2024</v>
      </c>
      <c r="E15" s="24">
        <v>2023</v>
      </c>
      <c r="F15" s="25">
        <v>2022</v>
      </c>
    </row>
    <row r="16" spans="3:6">
      <c r="C16" s="13" t="s">
        <v>67</v>
      </c>
      <c r="D16" s="14"/>
      <c r="E16" s="26"/>
      <c r="F16" s="27"/>
    </row>
    <row r="17" spans="3:6">
      <c r="C17" s="15"/>
      <c r="D17" s="16"/>
      <c r="E17" s="28"/>
      <c r="F17" s="29">
        <v>1</v>
      </c>
    </row>
    <row r="18" spans="3:6">
      <c r="C18" s="15"/>
      <c r="D18" s="17"/>
      <c r="E18" s="17"/>
      <c r="F18" s="34"/>
    </row>
    <row r="19" spans="3:6">
      <c r="C19" s="15" t="s">
        <v>68</v>
      </c>
      <c r="D19" s="18"/>
      <c r="E19" s="31"/>
      <c r="F19" s="32"/>
    </row>
    <row r="20" ht="15.95" spans="3:6">
      <c r="C20" s="19"/>
      <c r="D20" s="20"/>
      <c r="E20" s="20"/>
      <c r="F20" s="33">
        <v>1</v>
      </c>
    </row>
  </sheetData>
  <mergeCells count="2">
    <mergeCell ref="A1:B1"/>
    <mergeCell ref="A2:B2"/>
  </mergeCells>
  <pageMargins left="0.62992125984252" right="0.236220472440945" top="0.748031496062992" bottom="0.354330708661417" header="0.31496062992126" footer="0.31496062992126"/>
  <pageSetup paperSize="9" scale="64" fitToHeight="2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Ratio_Analysis</vt:lpstr>
      <vt:lpstr>Horizontal_Analysis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</dc:creator>
  <cp:lastModifiedBy>龙正轩</cp:lastModifiedBy>
  <dcterms:created xsi:type="dcterms:W3CDTF">2016-03-18T11:33:00Z</dcterms:created>
  <cp:lastPrinted>2020-08-07T09:32:00Z</cp:lastPrinted>
  <dcterms:modified xsi:type="dcterms:W3CDTF">2025-05-13T02:02:20Z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db064b5-5911-4077-b076-dd8db707b7e6_Enabled">
    <vt:lpwstr>true</vt:lpwstr>
  </property>
  <property fmtid="{D5CDD505-2E9C-101B-9397-08002B2CF9AE}" pid="3" name="MSIP_Label_adb064b5-5911-4077-b076-dd8db707b7e6_SetDate">
    <vt:lpwstr>2022-08-30T10:57:19Z</vt:lpwstr>
  </property>
  <property fmtid="{D5CDD505-2E9C-101B-9397-08002B2CF9AE}" pid="4" name="MSIP_Label_adb064b5-5911-4077-b076-dd8db707b7e6_Method">
    <vt:lpwstr>Privileged</vt:lpwstr>
  </property>
  <property fmtid="{D5CDD505-2E9C-101B-9397-08002B2CF9AE}" pid="5" name="MSIP_Label_adb064b5-5911-4077-b076-dd8db707b7e6_Name">
    <vt:lpwstr>UNOFFICIAL</vt:lpwstr>
  </property>
  <property fmtid="{D5CDD505-2E9C-101B-9397-08002B2CF9AE}" pid="6" name="MSIP_Label_adb064b5-5911-4077-b076-dd8db707b7e6_SiteId">
    <vt:lpwstr>b6e377cf-9db3-46cb-91a2-fad9605bb15c</vt:lpwstr>
  </property>
  <property fmtid="{D5CDD505-2E9C-101B-9397-08002B2CF9AE}" pid="7" name="MSIP_Label_adb064b5-5911-4077-b076-dd8db707b7e6_ActionId">
    <vt:lpwstr>bec81e93-65d6-4e92-abc3-977b05021f8f</vt:lpwstr>
  </property>
  <property fmtid="{D5CDD505-2E9C-101B-9397-08002B2CF9AE}" pid="8" name="MSIP_Label_adb064b5-5911-4077-b076-dd8db707b7e6_ContentBits">
    <vt:lpwstr>0</vt:lpwstr>
  </property>
  <property fmtid="{D5CDD505-2E9C-101B-9397-08002B2CF9AE}" pid="9" name="ICV">
    <vt:lpwstr>4D531211774057B4995F1E68D7FAA0E2_43</vt:lpwstr>
  </property>
  <property fmtid="{D5CDD505-2E9C-101B-9397-08002B2CF9AE}" pid="10" name="KSOProductBuildVer">
    <vt:lpwstr>2052-6.10.1.8873</vt:lpwstr>
  </property>
</Properties>
</file>